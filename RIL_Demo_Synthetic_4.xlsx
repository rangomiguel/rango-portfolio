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Read Me" sheetId="2" state="visible" r:id="rId4"/>
    <sheet name="Master Catalog" sheetId="3" state="visible" r:id="rId5"/>
    <sheet name="PBS" sheetId="4" state="visible" r:id="rId6"/>
    <sheet name="Country Registrations" sheetId="5" state="visible" r:id="rId7"/>
    <sheet name="Master RIL" sheetId="6" state="visible" r:id="rId8"/>
    <sheet name="RIL - Trellis" sheetId="7" state="visible" r:id="rId9"/>
    <sheet name="RIL - Voltix" sheetId="8" state="visible" r:id="rId10"/>
    <sheet name="RIL - Anchorix" sheetId="9" state="visible" r:id="rId11"/>
    <sheet name="RIL - Radiant" sheetId="10" state="visible" r:id="rId12"/>
    <sheet name="RIL - Corvid" sheetId="11" state="visible" r:id="rId13"/>
    <sheet name="Maintenance Procedure" sheetId="12" state="visible" r:id="rId14"/>
    <sheet name="Field Mapping" sheetId="13" state="visible" r:id="rId15"/>
    <sheet name="Paste &amp; Pars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<sst xmlns="http://schemas.openxmlformats.org/spreadsheetml/2006/main" count="1842" uniqueCount="586">
  <si>
    <t xml:space="preserve">Registration &amp; Incident Selector</t>
  </si>
  <si>
    <t xml:space="preserve">Pick a Country and a System below — the table auto-updates via formula lookups.</t>
  </si>
  <si>
    <t xml:space="preserve">Country:</t>
  </si>
  <si>
    <t xml:space="preserve">USA</t>
  </si>
  <si>
    <t xml:space="preserve">System:</t>
  </si>
  <si>
    <t xml:space="preserve">Trellis Forearm System</t>
  </si>
  <si>
    <t xml:space="preserve">Matching catalog items for the selected System:</t>
  </si>
  <si>
    <t xml:space="preserve">Catalog #</t>
  </si>
  <si>
    <t xml:space="preserve">Description</t>
  </si>
  <si>
    <t xml:space="preserve">Registration Name</t>
  </si>
  <si>
    <t xml:space="preserve">Registration #</t>
  </si>
  <si>
    <t xml:space="preserve">Approval Date</t>
  </si>
  <si>
    <t xml:space="preserve">Expiration Date</t>
  </si>
  <si>
    <t xml:space="preserve">Open incidents (Under Investigation) for selected System:</t>
  </si>
  <si>
    <t xml:space="preserve">Mental Schematics — Multi-Country / Multi-System Registration &amp; Incident Tracker</t>
  </si>
  <si>
    <t xml:space="preserve">Sample company — Mental Schematics is not a real business.</t>
  </si>
  <si>
    <t xml:space="preserve">All countries, systems, part numbers, registrations, and incidents below are fictional.</t>
  </si>
  <si>
    <t xml:space="preserve">What this workbook demonstrates:</t>
  </si>
  <si>
    <t xml:space="preserve">  • A single maintained workbook standing in for what would otherwise be a spreadsheet</t>
  </si>
  <si>
    <t xml:space="preserve">    per country/system combination (here: 5 countries x 5 systems = 25 combinations).</t>
  </si>
  <si>
    <t xml:space="preserve">  • A Home sheet where you pick a Country and a System from dropdowns, and the relevant</t>
  </si>
  <si>
    <t xml:space="preserve">    catalog, registration, and incident data is pulled in automatically via formulas.</t>
  </si>
  <si>
    <t xml:space="preserve">  • A consistent maintenance procedure for adding a new country or a new system without</t>
  </si>
  <si>
    <t xml:space="preserve">    restructuring existing sheets (see 'Maintenance Procedure' tab).</t>
  </si>
  <si>
    <t xml:space="preserve">Sheets:</t>
  </si>
  <si>
    <t xml:space="preserve">  Home                - country/system selector + auto-populated summary</t>
  </si>
  <si>
    <t xml:space="preserve">  Master Catalog       - every catalog item across all systems</t>
  </si>
  <si>
    <t xml:space="preserve">  PBS                  - which catalog items belong to which system</t>
  </si>
  <si>
    <t xml:space="preserve">  Country Registrations - registration record per catalog item, per country</t>
  </si>
  <si>
    <t xml:space="preserve">  Master RIL            - full incident log across all systems</t>
  </si>
  <si>
    <t xml:space="preserve">  RIL - &lt;System name&gt;   - per-system incident log (one tab per system)</t>
  </si>
  <si>
    <t xml:space="preserve">  Maintenance Procedure - the SOP for keeping this structure up to date</t>
  </si>
  <si>
    <t xml:space="preserve">  VBA Macro (optional)  - importable macro code that reproduces the original</t>
  </si>
  <si>
    <t xml:space="preserve">                          pop-up country/system selector, for use in Excel desktop</t>
  </si>
  <si>
    <t xml:space="preserve">Item Category</t>
  </si>
  <si>
    <t xml:space="preserve">UDI Number</t>
  </si>
  <si>
    <t xml:space="preserve">Part Drawing #</t>
  </si>
  <si>
    <t xml:space="preserve">IFU #</t>
  </si>
  <si>
    <t xml:space="preserve">Material</t>
  </si>
  <si>
    <t xml:space="preserve">Sterile?</t>
  </si>
  <si>
    <t xml:space="preserve">Active?</t>
  </si>
  <si>
    <t xml:space="preserve">System</t>
  </si>
  <si>
    <t xml:space="preserve">System Seq</t>
  </si>
  <si>
    <t xml:space="preserve">Key (System|Seq)</t>
  </si>
  <si>
    <t xml:space="preserve">Implant Screw</t>
  </si>
  <si>
    <t xml:space="preserve">TRL-110-1</t>
  </si>
  <si>
    <t xml:space="preserve">Screw, 2.4mm x 24mm, Trellis family</t>
  </si>
  <si>
    <t xml:space="preserve">008395310485</t>
  </si>
  <si>
    <t xml:space="preserve">DRW-42098-01</t>
  </si>
  <si>
    <t xml:space="preserve">IFU-4657-00</t>
  </si>
  <si>
    <t xml:space="preserve">CoCr Alloy</t>
  </si>
  <si>
    <t xml:space="preserve">Y</t>
  </si>
  <si>
    <t xml:space="preserve">Instrument</t>
  </si>
  <si>
    <t xml:space="preserve">TRL-120-2</t>
  </si>
  <si>
    <t xml:space="preserve">Instrument, 2.4mm x 10mm, Trellis family</t>
  </si>
  <si>
    <t xml:space="preserve">008200604502</t>
  </si>
  <si>
    <t xml:space="preserve">DRW-38657-02</t>
  </si>
  <si>
    <t xml:space="preserve">IFU-4811-00</t>
  </si>
  <si>
    <t xml:space="preserve">Ti 6Al-4V ELI</t>
  </si>
  <si>
    <t xml:space="preserve">N</t>
  </si>
  <si>
    <t xml:space="preserve">Implant Plate</t>
  </si>
  <si>
    <t xml:space="preserve">TRL-130-3</t>
  </si>
  <si>
    <t xml:space="preserve">Plate, 4.0mm x 20mm, Trellis family</t>
  </si>
  <si>
    <t xml:space="preserve">008398704996</t>
  </si>
  <si>
    <t xml:space="preserve">DRW-10851-03</t>
  </si>
  <si>
    <t xml:space="preserve">IFU-3615-00</t>
  </si>
  <si>
    <t xml:space="preserve">PEEK</t>
  </si>
  <si>
    <t xml:space="preserve">VLX-110-1</t>
  </si>
  <si>
    <t xml:space="preserve">Plate, 2.7mm x 14mm, Voltix family</t>
  </si>
  <si>
    <t xml:space="preserve">008209747451</t>
  </si>
  <si>
    <t xml:space="preserve">DRW-22156-01</t>
  </si>
  <si>
    <t xml:space="preserve">IFU-7224-00</t>
  </si>
  <si>
    <t xml:space="preserve">Voltix Plating System</t>
  </si>
  <si>
    <t xml:space="preserve">Implant Other</t>
  </si>
  <si>
    <t xml:space="preserve">VLX-120-2</t>
  </si>
  <si>
    <t xml:space="preserve">Other, 2.4mm x 24mm, Voltix family</t>
  </si>
  <si>
    <t xml:space="preserve">008593303705</t>
  </si>
  <si>
    <t xml:space="preserve">DRW-80284-02</t>
  </si>
  <si>
    <t xml:space="preserve">IFU-3045-00</t>
  </si>
  <si>
    <t xml:space="preserve">VLX-130-3</t>
  </si>
  <si>
    <t xml:space="preserve">Other, 4.5mm x 12mm, Voltix family</t>
  </si>
  <si>
    <t xml:space="preserve">008856528252</t>
  </si>
  <si>
    <t xml:space="preserve">DRW-19116-03</t>
  </si>
  <si>
    <t xml:space="preserve">IFU-1750-00</t>
  </si>
  <si>
    <t xml:space="preserve">ANX-110-1</t>
  </si>
  <si>
    <t xml:space="preserve">Plate, 2.4mm x 16mm, Anchorix family</t>
  </si>
  <si>
    <t xml:space="preserve">008398471886</t>
  </si>
  <si>
    <t xml:space="preserve">DRW-69429-01</t>
  </si>
  <si>
    <t xml:space="preserve">IFU-6977-00</t>
  </si>
  <si>
    <t xml:space="preserve">Anchorix Suture System</t>
  </si>
  <si>
    <t xml:space="preserve">ANX-120-2</t>
  </si>
  <si>
    <t xml:space="preserve">Plate, 3.5mm x 24mm, Anchorix family</t>
  </si>
  <si>
    <t xml:space="preserve">008833953718</t>
  </si>
  <si>
    <t xml:space="preserve">DRW-94939-02</t>
  </si>
  <si>
    <t xml:space="preserve">IFU-2169-00</t>
  </si>
  <si>
    <t xml:space="preserve">ANX-130-3</t>
  </si>
  <si>
    <t xml:space="preserve">Instrument, 4.0mm x 14mm, Anchorix family</t>
  </si>
  <si>
    <t xml:space="preserve">008787194506</t>
  </si>
  <si>
    <t xml:space="preserve">DRW-83000-03</t>
  </si>
  <si>
    <t xml:space="preserve">IFU-4598-00</t>
  </si>
  <si>
    <t xml:space="preserve">316L Stainless</t>
  </si>
  <si>
    <t xml:space="preserve">RAD-110-1</t>
  </si>
  <si>
    <t xml:space="preserve">Screw, 3.5mm x 16mm, Radiant family</t>
  </si>
  <si>
    <t xml:space="preserve">008387484583</t>
  </si>
  <si>
    <t xml:space="preserve">DRW-18675-01</t>
  </si>
  <si>
    <t xml:space="preserve">IFU-4456-00</t>
  </si>
  <si>
    <t xml:space="preserve">Radiant Nail System</t>
  </si>
  <si>
    <t xml:space="preserve">RAD-120-2</t>
  </si>
  <si>
    <t xml:space="preserve">Instrument, 4.0mm x 12mm, Radiant family</t>
  </si>
  <si>
    <t xml:space="preserve">008384412919</t>
  </si>
  <si>
    <t xml:space="preserve">DRW-28301-02</t>
  </si>
  <si>
    <t xml:space="preserve">IFU-5040-00</t>
  </si>
  <si>
    <t xml:space="preserve">RAD-130-3</t>
  </si>
  <si>
    <t xml:space="preserve">Other, 2.7mm x 12mm, Radiant family</t>
  </si>
  <si>
    <t xml:space="preserve">008647099690</t>
  </si>
  <si>
    <t xml:space="preserve">DRW-74686-03</t>
  </si>
  <si>
    <t xml:space="preserve">IFU-2489-00</t>
  </si>
  <si>
    <t xml:space="preserve">CVD-110-1</t>
  </si>
  <si>
    <t xml:space="preserve">Plate, 4.0mm x 20mm, Corvid family</t>
  </si>
  <si>
    <t xml:space="preserve">008168212356</t>
  </si>
  <si>
    <t xml:space="preserve">DRW-60432-01</t>
  </si>
  <si>
    <t xml:space="preserve">IFU-7252-00</t>
  </si>
  <si>
    <t xml:space="preserve">Corvid Fragment System</t>
  </si>
  <si>
    <t xml:space="preserve">CVD-120-2</t>
  </si>
  <si>
    <t xml:space="preserve">Screw, 4.5mm x 14mm, Corvid family</t>
  </si>
  <si>
    <t xml:space="preserve">008925276600</t>
  </si>
  <si>
    <t xml:space="preserve">DRW-94012-02</t>
  </si>
  <si>
    <t xml:space="preserve">IFU-6573-00</t>
  </si>
  <si>
    <t xml:space="preserve">CVD-130-3</t>
  </si>
  <si>
    <t xml:space="preserve">Plate, 4.0mm x 10mm, Corvid family</t>
  </si>
  <si>
    <t xml:space="preserve">008875340444</t>
  </si>
  <si>
    <t xml:space="preserve">DRW-44522-03</t>
  </si>
  <si>
    <t xml:space="preserve">IFU-9201-00</t>
  </si>
  <si>
    <t xml:space="preserve">✔</t>
  </si>
  <si>
    <t xml:space="preserve">Country</t>
  </si>
  <si>
    <t xml:space="preserve">Country Class</t>
  </si>
  <si>
    <t xml:space="preserve">Country Rule</t>
  </si>
  <si>
    <t xml:space="preserve">Registration Number</t>
  </si>
  <si>
    <t xml:space="preserve">Key (Country|Catalog#)</t>
  </si>
  <si>
    <t xml:space="preserve">IIa</t>
  </si>
  <si>
    <t xml:space="preserve">Trellis Forearm System - USA Registration</t>
  </si>
  <si>
    <t xml:space="preserve">K233080</t>
  </si>
  <si>
    <t xml:space="preserve">12/03/2023</t>
  </si>
  <si>
    <t xml:space="preserve">N/A</t>
  </si>
  <si>
    <t xml:space="preserve">Germany</t>
  </si>
  <si>
    <t xml:space="preserve">I</t>
  </si>
  <si>
    <t xml:space="preserve">Trellis Forearm System - Germany Registration</t>
  </si>
  <si>
    <t xml:space="preserve">DE-CE-9837</t>
  </si>
  <si>
    <t xml:space="preserve">16/01/2022</t>
  </si>
  <si>
    <t xml:space="preserve">04/06/2027</t>
  </si>
  <si>
    <t xml:space="preserve">Brazil</t>
  </si>
  <si>
    <t xml:space="preserve">Trellis Forearm System - Brazil Registration</t>
  </si>
  <si>
    <t xml:space="preserve">ANVISA-50306</t>
  </si>
  <si>
    <t xml:space="preserve">19/02/2017</t>
  </si>
  <si>
    <t xml:space="preserve">03/12/2022</t>
  </si>
  <si>
    <t xml:space="preserve">Japan</t>
  </si>
  <si>
    <t xml:space="preserve">Trellis Forearm System - Japan Registration</t>
  </si>
  <si>
    <t xml:space="preserve">PMDA-609597</t>
  </si>
  <si>
    <t xml:space="preserve">22/08/2015</t>
  </si>
  <si>
    <t xml:space="preserve">18/03/2020</t>
  </si>
  <si>
    <t xml:space="preserve">Australia</t>
  </si>
  <si>
    <t xml:space="preserve">III</t>
  </si>
  <si>
    <t xml:space="preserve">Trellis Forearm System - Australia Registration</t>
  </si>
  <si>
    <t xml:space="preserve">ARTG-238966</t>
  </si>
  <si>
    <t xml:space="preserve">18/12/2022</t>
  </si>
  <si>
    <t xml:space="preserve">23/04/2027</t>
  </si>
  <si>
    <t xml:space="preserve">IIb</t>
  </si>
  <si>
    <t xml:space="preserve">K181714</t>
  </si>
  <si>
    <t xml:space="preserve">17/08/2020</t>
  </si>
  <si>
    <t xml:space="preserve">DE-CE-2982</t>
  </si>
  <si>
    <t xml:space="preserve">11/01/2017</t>
  </si>
  <si>
    <t xml:space="preserve">19/09/2022</t>
  </si>
  <si>
    <t xml:space="preserve">ANVISA-40161</t>
  </si>
  <si>
    <t xml:space="preserve">03/12/2023</t>
  </si>
  <si>
    <t xml:space="preserve">21/01/2028</t>
  </si>
  <si>
    <t xml:space="preserve">PMDA-340062</t>
  </si>
  <si>
    <t xml:space="preserve">03/09/2015</t>
  </si>
  <si>
    <t xml:space="preserve">08/05/2020</t>
  </si>
  <si>
    <t xml:space="preserve">ARTG-354496</t>
  </si>
  <si>
    <t xml:space="preserve">08/08/2017</t>
  </si>
  <si>
    <t xml:space="preserve">26/07/2022</t>
  </si>
  <si>
    <t xml:space="preserve">K149914</t>
  </si>
  <si>
    <t xml:space="preserve">12/07/2015</t>
  </si>
  <si>
    <t xml:space="preserve">DE-CE-7735</t>
  </si>
  <si>
    <t xml:space="preserve">02/07/2021</t>
  </si>
  <si>
    <t xml:space="preserve">24/06/2026</t>
  </si>
  <si>
    <t xml:space="preserve">ANVISA-24322</t>
  </si>
  <si>
    <t xml:space="preserve">18/08/2017</t>
  </si>
  <si>
    <t xml:space="preserve">05/07/2022</t>
  </si>
  <si>
    <t xml:space="preserve">PMDA-292401</t>
  </si>
  <si>
    <t xml:space="preserve">28/02/2018</t>
  </si>
  <si>
    <t xml:space="preserve">15/09/2023</t>
  </si>
  <si>
    <t xml:space="preserve">ARTG-151332</t>
  </si>
  <si>
    <t xml:space="preserve">25/04/2014</t>
  </si>
  <si>
    <t xml:space="preserve">06/07/2019</t>
  </si>
  <si>
    <t xml:space="preserve">Voltix Plating System - USA Registration</t>
  </si>
  <si>
    <t xml:space="preserve">K227307</t>
  </si>
  <si>
    <t xml:space="preserve">02/03/2021</t>
  </si>
  <si>
    <t xml:space="preserve">Voltix Plating System - Germany Registration</t>
  </si>
  <si>
    <t xml:space="preserve">DE-CE-7209</t>
  </si>
  <si>
    <t xml:space="preserve">26/08/2014</t>
  </si>
  <si>
    <t xml:space="preserve">10/07/2019</t>
  </si>
  <si>
    <t xml:space="preserve">Voltix Plating System - Brazil Registration</t>
  </si>
  <si>
    <t xml:space="preserve">ANVISA-82845</t>
  </si>
  <si>
    <t xml:space="preserve">10/04/2021</t>
  </si>
  <si>
    <t xml:space="preserve">02/10/2026</t>
  </si>
  <si>
    <t xml:space="preserve">Voltix Plating System - Japan Registration</t>
  </si>
  <si>
    <t xml:space="preserve">PMDA-871476</t>
  </si>
  <si>
    <t xml:space="preserve">02/01/2022</t>
  </si>
  <si>
    <t xml:space="preserve">19/08/2027</t>
  </si>
  <si>
    <t xml:space="preserve">Voltix Plating System - Australia Registration</t>
  </si>
  <si>
    <t xml:space="preserve">ARTG-363638</t>
  </si>
  <si>
    <t xml:space="preserve">17/02/2022</t>
  </si>
  <si>
    <t xml:space="preserve">28/03/2027</t>
  </si>
  <si>
    <t xml:space="preserve">K117962</t>
  </si>
  <si>
    <t xml:space="preserve">13/02/2023</t>
  </si>
  <si>
    <t xml:space="preserve">DE-CE-5033</t>
  </si>
  <si>
    <t xml:space="preserve">14/11/2023</t>
  </si>
  <si>
    <t xml:space="preserve">19/10/2028</t>
  </si>
  <si>
    <t xml:space="preserve">ANVISA-78522</t>
  </si>
  <si>
    <t xml:space="preserve">22/12/2019</t>
  </si>
  <si>
    <t xml:space="preserve">11/04/2024</t>
  </si>
  <si>
    <t xml:space="preserve">PMDA-378517</t>
  </si>
  <si>
    <t xml:space="preserve">15/06/2020</t>
  </si>
  <si>
    <t xml:space="preserve">25/02/2025</t>
  </si>
  <si>
    <t xml:space="preserve">ARTG-104883</t>
  </si>
  <si>
    <t xml:space="preserve">18/04/2021</t>
  </si>
  <si>
    <t xml:space="preserve">17/05/2026</t>
  </si>
  <si>
    <t xml:space="preserve">K134722</t>
  </si>
  <si>
    <t xml:space="preserve">12/05/2019</t>
  </si>
  <si>
    <t xml:space="preserve">DE-CE-3584</t>
  </si>
  <si>
    <t xml:space="preserve">22/09/2021</t>
  </si>
  <si>
    <t xml:space="preserve">10/11/2026</t>
  </si>
  <si>
    <t xml:space="preserve">ANVISA-23577</t>
  </si>
  <si>
    <t xml:space="preserve">04/12/2016</t>
  </si>
  <si>
    <t xml:space="preserve">18/03/2021</t>
  </si>
  <si>
    <t xml:space="preserve">PMDA-385577</t>
  </si>
  <si>
    <t xml:space="preserve">07/11/2018</t>
  </si>
  <si>
    <t xml:space="preserve">21/05/2023</t>
  </si>
  <si>
    <t xml:space="preserve">ARTG-364979</t>
  </si>
  <si>
    <t xml:space="preserve">03/11/2021</t>
  </si>
  <si>
    <t xml:space="preserve">14/05/2026</t>
  </si>
  <si>
    <t xml:space="preserve">Anchorix Suture System - USA Registration</t>
  </si>
  <si>
    <t xml:space="preserve">K111557</t>
  </si>
  <si>
    <t xml:space="preserve">21/05/2014</t>
  </si>
  <si>
    <t xml:space="preserve">Anchorix Suture System - Germany Registration</t>
  </si>
  <si>
    <t xml:space="preserve">DE-CE-3647</t>
  </si>
  <si>
    <t xml:space="preserve">04/02/2021</t>
  </si>
  <si>
    <t xml:space="preserve">23/03/2026</t>
  </si>
  <si>
    <t xml:space="preserve">Anchorix Suture System - Brazil Registration</t>
  </si>
  <si>
    <t xml:space="preserve">ANVISA-81511</t>
  </si>
  <si>
    <t xml:space="preserve">14/03/2014</t>
  </si>
  <si>
    <t xml:space="preserve">02/05/2019</t>
  </si>
  <si>
    <t xml:space="preserve">Anchorix Suture System - Japan Registration</t>
  </si>
  <si>
    <t xml:space="preserve">PMDA-482364</t>
  </si>
  <si>
    <t xml:space="preserve">22/04/2014</t>
  </si>
  <si>
    <t xml:space="preserve">22/02/2019</t>
  </si>
  <si>
    <t xml:space="preserve">Anchorix Suture System - Australia Registration</t>
  </si>
  <si>
    <t xml:space="preserve">ARTG-285429</t>
  </si>
  <si>
    <t xml:space="preserve">08/03/2022</t>
  </si>
  <si>
    <t xml:space="preserve">26/03/2027</t>
  </si>
  <si>
    <t xml:space="preserve">K208080</t>
  </si>
  <si>
    <t xml:space="preserve">26/07/2014</t>
  </si>
  <si>
    <t xml:space="preserve">DE-CE-5065</t>
  </si>
  <si>
    <t xml:space="preserve">13/01/2018</t>
  </si>
  <si>
    <t xml:space="preserve">28/08/2023</t>
  </si>
  <si>
    <t xml:space="preserve">ANVISA-39154</t>
  </si>
  <si>
    <t xml:space="preserve">10/04/2017</t>
  </si>
  <si>
    <t xml:space="preserve">08/01/2022</t>
  </si>
  <si>
    <t xml:space="preserve">PMDA-792094</t>
  </si>
  <si>
    <t xml:space="preserve">09/02/2017</t>
  </si>
  <si>
    <t xml:space="preserve">25/05/2022</t>
  </si>
  <si>
    <t xml:space="preserve">ARTG-284101</t>
  </si>
  <si>
    <t xml:space="preserve">01/02/2022</t>
  </si>
  <si>
    <t xml:space="preserve">09/03/2027</t>
  </si>
  <si>
    <t xml:space="preserve">K169590</t>
  </si>
  <si>
    <t xml:space="preserve">12/12/2014</t>
  </si>
  <si>
    <t xml:space="preserve">DE-CE-6139</t>
  </si>
  <si>
    <t xml:space="preserve">19/04/2020</t>
  </si>
  <si>
    <t xml:space="preserve">09/01/2025</t>
  </si>
  <si>
    <t xml:space="preserve">ANVISA-67154</t>
  </si>
  <si>
    <t xml:space="preserve">14/02/2014</t>
  </si>
  <si>
    <t xml:space="preserve">22/06/2019</t>
  </si>
  <si>
    <t xml:space="preserve">PMDA-753425</t>
  </si>
  <si>
    <t xml:space="preserve">17/05/2019</t>
  </si>
  <si>
    <t xml:space="preserve">22/07/2024</t>
  </si>
  <si>
    <t xml:space="preserve">ARTG-271013</t>
  </si>
  <si>
    <t xml:space="preserve">07/07/2020</t>
  </si>
  <si>
    <t xml:space="preserve">22/07/2025</t>
  </si>
  <si>
    <t xml:space="preserve">Radiant Nail System - USA Registration</t>
  </si>
  <si>
    <t xml:space="preserve">K145620</t>
  </si>
  <si>
    <t xml:space="preserve">18/01/2023</t>
  </si>
  <si>
    <t xml:space="preserve">Radiant Nail System - Germany Registration</t>
  </si>
  <si>
    <t xml:space="preserve">DE-CE-5978</t>
  </si>
  <si>
    <t xml:space="preserve">26/10/2018</t>
  </si>
  <si>
    <t xml:space="preserve">20/11/2023</t>
  </si>
  <si>
    <t xml:space="preserve">Radiant Nail System - Brazil Registration</t>
  </si>
  <si>
    <t xml:space="preserve">ANVISA-52237</t>
  </si>
  <si>
    <t xml:space="preserve">22/04/2021</t>
  </si>
  <si>
    <t xml:space="preserve">17/08/2026</t>
  </si>
  <si>
    <t xml:space="preserve">Radiant Nail System - Japan Registration</t>
  </si>
  <si>
    <t xml:space="preserve">PMDA-932291</t>
  </si>
  <si>
    <t xml:space="preserve">17/11/2016</t>
  </si>
  <si>
    <t xml:space="preserve">21/10/2021</t>
  </si>
  <si>
    <t xml:space="preserve">Radiant Nail System - Australia Registration</t>
  </si>
  <si>
    <t xml:space="preserve">ARTG-275735</t>
  </si>
  <si>
    <t xml:space="preserve">08/04/2015</t>
  </si>
  <si>
    <t xml:space="preserve">05/01/2020</t>
  </si>
  <si>
    <t xml:space="preserve">K112114</t>
  </si>
  <si>
    <t xml:space="preserve">15/07/2017</t>
  </si>
  <si>
    <t xml:space="preserve">DE-CE-4185</t>
  </si>
  <si>
    <t xml:space="preserve">08/03/2020</t>
  </si>
  <si>
    <t xml:space="preserve">21/12/2025</t>
  </si>
  <si>
    <t xml:space="preserve">ANVISA-10726</t>
  </si>
  <si>
    <t xml:space="preserve">06/12/2015</t>
  </si>
  <si>
    <t xml:space="preserve">PMDA-152657</t>
  </si>
  <si>
    <t xml:space="preserve">15/03/2022</t>
  </si>
  <si>
    <t xml:space="preserve">26/08/2027</t>
  </si>
  <si>
    <t xml:space="preserve">ARTG-378466</t>
  </si>
  <si>
    <t xml:space="preserve">20/12/2022</t>
  </si>
  <si>
    <t xml:space="preserve">17/07/2027</t>
  </si>
  <si>
    <t xml:space="preserve">K216893</t>
  </si>
  <si>
    <t xml:space="preserve">09/04/2016</t>
  </si>
  <si>
    <t xml:space="preserve">DE-CE-5543</t>
  </si>
  <si>
    <t xml:space="preserve">09/08/2022</t>
  </si>
  <si>
    <t xml:space="preserve">03/12/2027</t>
  </si>
  <si>
    <t xml:space="preserve">ANVISA-47450</t>
  </si>
  <si>
    <t xml:space="preserve">11/09/2017</t>
  </si>
  <si>
    <t xml:space="preserve">03/03/2022</t>
  </si>
  <si>
    <t xml:space="preserve">PMDA-258157</t>
  </si>
  <si>
    <t xml:space="preserve">23/04/2017</t>
  </si>
  <si>
    <t xml:space="preserve">03/07/2022</t>
  </si>
  <si>
    <t xml:space="preserve">ARTG-313699</t>
  </si>
  <si>
    <t xml:space="preserve">02/04/2019</t>
  </si>
  <si>
    <t xml:space="preserve">27/07/2024</t>
  </si>
  <si>
    <t xml:space="preserve">Corvid Fragment System - USA Registration</t>
  </si>
  <si>
    <t xml:space="preserve">K202099</t>
  </si>
  <si>
    <t xml:space="preserve">16/01/2023</t>
  </si>
  <si>
    <t xml:space="preserve">Corvid Fragment System - Germany Registration</t>
  </si>
  <si>
    <t xml:space="preserve">DE-CE-6763</t>
  </si>
  <si>
    <t xml:space="preserve">18/12/2018</t>
  </si>
  <si>
    <t xml:space="preserve">24/09/2023</t>
  </si>
  <si>
    <t xml:space="preserve">Corvid Fragment System - Brazil Registration</t>
  </si>
  <si>
    <t xml:space="preserve">ANVISA-89069</t>
  </si>
  <si>
    <t xml:space="preserve">09/07/2017</t>
  </si>
  <si>
    <t xml:space="preserve">Corvid Fragment System - Japan Registration</t>
  </si>
  <si>
    <t xml:space="preserve">PMDA-507746</t>
  </si>
  <si>
    <t xml:space="preserve">27/08/2019</t>
  </si>
  <si>
    <t xml:space="preserve">05/10/2024</t>
  </si>
  <si>
    <t xml:space="preserve">Corvid Fragment System - Australia Registration</t>
  </si>
  <si>
    <t xml:space="preserve">ARTG-380034</t>
  </si>
  <si>
    <t xml:space="preserve">03/11/2014</t>
  </si>
  <si>
    <t xml:space="preserve">14/03/2019</t>
  </si>
  <si>
    <t xml:space="preserve">K221031</t>
  </si>
  <si>
    <t xml:space="preserve">13/06/2016</t>
  </si>
  <si>
    <t xml:space="preserve">DE-CE-4467</t>
  </si>
  <si>
    <t xml:space="preserve">25/07/2021</t>
  </si>
  <si>
    <t xml:space="preserve">09/07/2026</t>
  </si>
  <si>
    <t xml:space="preserve">ANVISA-43065</t>
  </si>
  <si>
    <t xml:space="preserve">24/09/2015</t>
  </si>
  <si>
    <t xml:space="preserve">02/06/2020</t>
  </si>
  <si>
    <t xml:space="preserve">PMDA-335113</t>
  </si>
  <si>
    <t xml:space="preserve">27/01/2020</t>
  </si>
  <si>
    <t xml:space="preserve">ARTG-179892</t>
  </si>
  <si>
    <t xml:space="preserve">22/02/2017</t>
  </si>
  <si>
    <t xml:space="preserve">19/04/2022</t>
  </si>
  <si>
    <t xml:space="preserve">K221905</t>
  </si>
  <si>
    <t xml:space="preserve">20/10/2018</t>
  </si>
  <si>
    <t xml:space="preserve">DE-CE-2876</t>
  </si>
  <si>
    <t xml:space="preserve">19/01/2016</t>
  </si>
  <si>
    <t xml:space="preserve">10/10/2021</t>
  </si>
  <si>
    <t xml:space="preserve">ANVISA-98781</t>
  </si>
  <si>
    <t xml:space="preserve">03/10/2020</t>
  </si>
  <si>
    <t xml:space="preserve">23/11/2025</t>
  </si>
  <si>
    <t xml:space="preserve">PMDA-354646</t>
  </si>
  <si>
    <t xml:space="preserve">26/10/2015</t>
  </si>
  <si>
    <t xml:space="preserve">26/01/2020</t>
  </si>
  <si>
    <t xml:space="preserve">ARTG-282034</t>
  </si>
  <si>
    <t xml:space="preserve">03/09/2022</t>
  </si>
  <si>
    <t xml:space="preserve">21/06/2027</t>
  </si>
  <si>
    <t xml:space="preserve">Incident ID</t>
  </si>
  <si>
    <t xml:space="preserve">Date Reported</t>
  </si>
  <si>
    <t xml:space="preserve">Incident Type</t>
  </si>
  <si>
    <t xml:space="preserve">Severity</t>
  </si>
  <si>
    <t xml:space="preserve">Corrective Action</t>
  </si>
  <si>
    <t xml:space="preserve">Status</t>
  </si>
  <si>
    <t xml:space="preserve">INC-1001</t>
  </si>
  <si>
    <t xml:space="preserve">27/08/2024</t>
  </si>
  <si>
    <t xml:space="preserve">Bent on delivery</t>
  </si>
  <si>
    <t xml:space="preserve">Medium</t>
  </si>
  <si>
    <t xml:space="preserve">Root cause traced to packaging vendor, spec updated</t>
  </si>
  <si>
    <t xml:space="preserve">Closed - Replaced Unit</t>
  </si>
  <si>
    <t xml:space="preserve">INC-1002</t>
  </si>
  <si>
    <t xml:space="preserve">05/07/2026</t>
  </si>
  <si>
    <t xml:space="preserve">Packaging breach</t>
  </si>
  <si>
    <t xml:space="preserve">High</t>
  </si>
  <si>
    <t xml:space="preserve">CAPA opened, in-process inspection added</t>
  </si>
  <si>
    <t xml:space="preserve">Under Investigation</t>
  </si>
  <si>
    <t xml:space="preserve">INC-1003</t>
  </si>
  <si>
    <t xml:space="preserve">14/12/2024</t>
  </si>
  <si>
    <t xml:space="preserve">Dimensional out of spec</t>
  </si>
  <si>
    <t xml:space="preserve">Closed - CAPA Issued</t>
  </si>
  <si>
    <t xml:space="preserve">INC-1004</t>
  </si>
  <si>
    <t xml:space="preserve">09/08/2021</t>
  </si>
  <si>
    <t xml:space="preserve">INC-1005</t>
  </si>
  <si>
    <t xml:space="preserve">01/08/2023</t>
  </si>
  <si>
    <t xml:space="preserve">Labeling discrepancy</t>
  </si>
  <si>
    <t xml:space="preserve">Low</t>
  </si>
  <si>
    <t xml:space="preserve">No corrective action required, isolated event</t>
  </si>
  <si>
    <t xml:space="preserve">INC-1006</t>
  </si>
  <si>
    <t xml:space="preserve">26/05/2023</t>
  </si>
  <si>
    <t xml:space="preserve">INC-1007</t>
  </si>
  <si>
    <t xml:space="preserve">01/09/2025</t>
  </si>
  <si>
    <t xml:space="preserve">Unit replaced under warranty, no trend identified</t>
  </si>
  <si>
    <t xml:space="preserve">INC-1008</t>
  </si>
  <si>
    <t xml:space="preserve">25/04/2025</t>
  </si>
  <si>
    <t xml:space="preserve">Sterility indicator failure</t>
  </si>
  <si>
    <t xml:space="preserve">INC-1009</t>
  </si>
  <si>
    <t xml:space="preserve">03/05/2021</t>
  </si>
  <si>
    <t xml:space="preserve">INC-1010</t>
  </si>
  <si>
    <t xml:space="preserve">19/06/2026</t>
  </si>
  <si>
    <t xml:space="preserve">Surface finish nonconformance</t>
  </si>
  <si>
    <t xml:space="preserve">INC-1011</t>
  </si>
  <si>
    <t xml:space="preserve">24/09/2024</t>
  </si>
  <si>
    <t xml:space="preserve">INC-1012</t>
  </si>
  <si>
    <t xml:space="preserve">09/04/2023</t>
  </si>
  <si>
    <t xml:space="preserve">INC-1013</t>
  </si>
  <si>
    <t xml:space="preserve">18/12/2026</t>
  </si>
  <si>
    <t xml:space="preserve">INC-1014</t>
  </si>
  <si>
    <t xml:space="preserve">24/10/2023</t>
  </si>
  <si>
    <t xml:space="preserve">Closed - No Action</t>
  </si>
  <si>
    <t xml:space="preserve">INC-1015</t>
  </si>
  <si>
    <t xml:space="preserve">08/06/2023</t>
  </si>
  <si>
    <t xml:space="preserve">Vendor notified, incoming inspection tightened</t>
  </si>
  <si>
    <t xml:space="preserve">INC-1016</t>
  </si>
  <si>
    <t xml:space="preserve">02/01/2023</t>
  </si>
  <si>
    <t xml:space="preserve">INC-1017</t>
  </si>
  <si>
    <t xml:space="preserve">28/01/2021</t>
  </si>
  <si>
    <t xml:space="preserve">INC-1018</t>
  </si>
  <si>
    <t xml:space="preserve">06/01/2023</t>
  </si>
  <si>
    <t xml:space="preserve">INC-1019</t>
  </si>
  <si>
    <t xml:space="preserve">16/02/2024</t>
  </si>
  <si>
    <t xml:space="preserve">INC-1020</t>
  </si>
  <si>
    <t xml:space="preserve">26/10/2022</t>
  </si>
  <si>
    <t xml:space="preserve">INC-1021</t>
  </si>
  <si>
    <t xml:space="preserve">25/07/2025</t>
  </si>
  <si>
    <t xml:space="preserve">INC-1022</t>
  </si>
  <si>
    <t xml:space="preserve">13/08/2025</t>
  </si>
  <si>
    <t xml:space="preserve">INC-1023</t>
  </si>
  <si>
    <t xml:space="preserve">20/01/2025</t>
  </si>
  <si>
    <t xml:space="preserve">INC-1024</t>
  </si>
  <si>
    <t xml:space="preserve">07/05/2026</t>
  </si>
  <si>
    <t xml:space="preserve">INC-1025</t>
  </si>
  <si>
    <t xml:space="preserve">18/02/2022</t>
  </si>
  <si>
    <t xml:space="preserve">INC-1026</t>
  </si>
  <si>
    <t xml:space="preserve">20/08/2026</t>
  </si>
  <si>
    <t xml:space="preserve">INC-1027</t>
  </si>
  <si>
    <t xml:space="preserve">28/08/2026</t>
  </si>
  <si>
    <t xml:space="preserve">INC-1028</t>
  </si>
  <si>
    <t xml:space="preserve">19/11/2026</t>
  </si>
  <si>
    <t xml:space="preserve">INC-1029</t>
  </si>
  <si>
    <t xml:space="preserve">05/05/2026</t>
  </si>
  <si>
    <t xml:space="preserve">INC-1030</t>
  </si>
  <si>
    <t xml:space="preserve">20/12/2023</t>
  </si>
  <si>
    <t xml:space="preserve">INC-1031</t>
  </si>
  <si>
    <t xml:space="preserve">10/12/2026</t>
  </si>
  <si>
    <t xml:space="preserve">INC-1032</t>
  </si>
  <si>
    <t xml:space="preserve">03/10/2024</t>
  </si>
  <si>
    <t xml:space="preserve">INC-1033</t>
  </si>
  <si>
    <t xml:space="preserve">03/04/2021</t>
  </si>
  <si>
    <t xml:space="preserve">INC-1034</t>
  </si>
  <si>
    <t xml:space="preserve">27/05/2026</t>
  </si>
  <si>
    <t xml:space="preserve">INC-1035</t>
  </si>
  <si>
    <t xml:space="preserve">21/08/2025</t>
  </si>
  <si>
    <t xml:space="preserve">INC-1036</t>
  </si>
  <si>
    <t xml:space="preserve">16/06/2021</t>
  </si>
  <si>
    <t xml:space="preserve">INC-1037</t>
  </si>
  <si>
    <t xml:space="preserve">11/07/2022</t>
  </si>
  <si>
    <t xml:space="preserve">INC-1038</t>
  </si>
  <si>
    <t xml:space="preserve">02/08/2025</t>
  </si>
  <si>
    <t xml:space="preserve">INC-1039</t>
  </si>
  <si>
    <t xml:space="preserve">INC-1040</t>
  </si>
  <si>
    <t xml:space="preserve">02/04/2024</t>
  </si>
  <si>
    <t xml:space="preserve">INC-1041</t>
  </si>
  <si>
    <t xml:space="preserve">07/05/2021</t>
  </si>
  <si>
    <t xml:space="preserve">INC-1042</t>
  </si>
  <si>
    <t xml:space="preserve">16/02/2026</t>
  </si>
  <si>
    <t xml:space="preserve">INC-1043</t>
  </si>
  <si>
    <t xml:space="preserve">06/05/2026</t>
  </si>
  <si>
    <t xml:space="preserve">INC-1044</t>
  </si>
  <si>
    <t xml:space="preserve">08/02/2021</t>
  </si>
  <si>
    <t xml:space="preserve">INC-1045</t>
  </si>
  <si>
    <t xml:space="preserve">10/09/2026</t>
  </si>
  <si>
    <t xml:space="preserve">INC-1046</t>
  </si>
  <si>
    <t xml:space="preserve">15/09/2022</t>
  </si>
  <si>
    <t xml:space="preserve">INC-1047</t>
  </si>
  <si>
    <t xml:space="preserve">09/07/2021</t>
  </si>
  <si>
    <t xml:space="preserve">INC-1048</t>
  </si>
  <si>
    <t xml:space="preserve">24/05/2023</t>
  </si>
  <si>
    <t xml:space="preserve">INC-1049</t>
  </si>
  <si>
    <t xml:space="preserve">18/08/2024</t>
  </si>
  <si>
    <t xml:space="preserve">INC-1050</t>
  </si>
  <si>
    <t xml:space="preserve">INC-1051</t>
  </si>
  <si>
    <t xml:space="preserve">02/06/2024</t>
  </si>
  <si>
    <t xml:space="preserve">INC-1052</t>
  </si>
  <si>
    <t xml:space="preserve">26/11/2026</t>
  </si>
  <si>
    <t xml:space="preserve">INC-1053</t>
  </si>
  <si>
    <t xml:space="preserve">19/06/2025</t>
  </si>
  <si>
    <t xml:space="preserve">INC-1054</t>
  </si>
  <si>
    <t xml:space="preserve">INC-1055</t>
  </si>
  <si>
    <t xml:space="preserve">11/10/2023</t>
  </si>
  <si>
    <t xml:space="preserve">INC-1056</t>
  </si>
  <si>
    <t xml:space="preserve">21/12/2023</t>
  </si>
  <si>
    <t xml:space="preserve">INC-1057</t>
  </si>
  <si>
    <t xml:space="preserve">21/11/2022</t>
  </si>
  <si>
    <t xml:space="preserve">INC-1058</t>
  </si>
  <si>
    <t xml:space="preserve">25/11/2021</t>
  </si>
  <si>
    <t xml:space="preserve">INC-1059</t>
  </si>
  <si>
    <t xml:space="preserve">10/01/2026</t>
  </si>
  <si>
    <t xml:space="preserve">INC-1060</t>
  </si>
  <si>
    <t xml:space="preserve">12/07/2023</t>
  </si>
  <si>
    <t xml:space="preserve">Maintenance Procedure</t>
  </si>
  <si>
    <t xml:space="preserve">Adding a new Country:</t>
  </si>
  <si>
    <t xml:space="preserve">  1. Add the country name to the dropdown list on the Home sheet (data validation source).</t>
  </si>
  <si>
    <t xml:space="preserve">  2. Add one row per existing Catalog # to Country Registrations, filled in with that</t>
  </si>
  <si>
    <t xml:space="preserve">     country's registration class, rule, name, number, and dates.</t>
  </si>
  <si>
    <t xml:space="preserve">  3. No changes are needed on Master Catalog, PBS, or any RIL sheet — those are</t>
  </si>
  <si>
    <t xml:space="preserve">     country-independent.</t>
  </si>
  <si>
    <t xml:space="preserve">Adding a new System:</t>
  </si>
  <si>
    <t xml:space="preserve">  1. Add the system name to the dropdown list on the Home sheet.</t>
  </si>
  <si>
    <t xml:space="preserve">  2. Add its catalog items to Master Catalog, tagging each with the System name and a</t>
  </si>
  <si>
    <t xml:space="preserve">     sequential 'System Seq' number (1, 2, 3, ...) — the Key column builds itself from those.</t>
  </si>
  <si>
    <t xml:space="preserve">  3. Add a column for the new system on PBS and mark which catalog items belong to it.</t>
  </si>
  <si>
    <t xml:space="preserve">  4. Add a matching row per catalog item, per existing country, to Country Registrations.</t>
  </si>
  <si>
    <t xml:space="preserve">  5. Duplicate an existing 'RIL - &lt;System&gt;' tab, rename it, and clear the incident rows —</t>
  </si>
  <si>
    <t xml:space="preserve">     it will already be wired to accept new incident entries.</t>
  </si>
  <si>
    <t xml:space="preserve">  6. Log incidents for the new system in both Master RIL and its own RIL tab as they occur.</t>
  </si>
  <si>
    <t xml:space="preserve">Adding a new Catalog Item to an existing System:</t>
  </si>
  <si>
    <t xml:space="preserve">  1. Add a row to Master Catalog with the next System Seq number for that system.</t>
  </si>
  <si>
    <t xml:space="preserve">  2. Add a row to Country Registrations for each country already tracked.</t>
  </si>
  <si>
    <t xml:space="preserve">  3. Mark it on PBS under its system's column.</t>
  </si>
  <si>
    <t xml:space="preserve">This structure is what lets one workbook stand in for N countries x M systems of</t>
  </si>
  <si>
    <t xml:space="preserve">spreadsheets: every sheet keys off Catalog # and/or Country, so growth in either</t>
  </si>
  <si>
    <t xml:space="preserve">dimension is additive rather than requiring a new file.</t>
  </si>
  <si>
    <t xml:space="preserve">Field Mapping</t>
  </si>
  <si>
    <t xml:space="preserve">Add a row here for every label the source text can contain, for every document type.</t>
  </si>
  <si>
    <t xml:space="preserve">The parser is generic: it does not know about any document type until you tell it here.</t>
  </si>
  <si>
    <t xml:space="preserve">Document Type</t>
  </si>
  <si>
    <t xml:space="preserve">Source Label (as it appears in extracted text)</t>
  </si>
  <si>
    <t xml:space="preserve">Destination Sheet</t>
  </si>
  <si>
    <t xml:space="preserve">Destination Column</t>
  </si>
  <si>
    <t xml:space="preserve">Catalog Spec Sheet</t>
  </si>
  <si>
    <t xml:space="preserve">Catalog Number</t>
  </si>
  <si>
    <t xml:space="preserve">Master Catalog</t>
  </si>
  <si>
    <t xml:space="preserve">B</t>
  </si>
  <si>
    <t xml:space="preserve">C</t>
  </si>
  <si>
    <t xml:space="preserve">UDI</t>
  </si>
  <si>
    <t xml:space="preserve">D</t>
  </si>
  <si>
    <t xml:space="preserve">Drawing Number</t>
  </si>
  <si>
    <t xml:space="preserve">E</t>
  </si>
  <si>
    <t xml:space="preserve">G</t>
  </si>
  <si>
    <t xml:space="preserve">Registration Certificate</t>
  </si>
  <si>
    <t xml:space="preserve">Country Registrations</t>
  </si>
  <si>
    <t xml:space="preserve">A</t>
  </si>
  <si>
    <t xml:space="preserve">F</t>
  </si>
  <si>
    <t xml:space="preserve">H</t>
  </si>
  <si>
    <t xml:space="preserve">Incident Report</t>
  </si>
  <si>
    <t xml:space="preserve">Master RIL</t>
  </si>
  <si>
    <t xml:space="preserve">Paste &amp; Parse</t>
  </si>
  <si>
    <t xml:space="preserve">Paste text copied out of a PDF or a text-extraction tool below. The macro (see VBA add-on) reads it, splits each 'Label: Value' line, looks the label up in Field Mapping, and stages it for insertion into the right sheet and column.</t>
  </si>
  <si>
    <t xml:space="preserve">Document Type:</t>
  </si>
  <si>
    <t xml:space="preserve">Paste raw extracted text here (one 'Label: Value' pair per line):</t>
  </si>
  <si>
    <t xml:space="preserve">Catalog Number: TRL-110-1
Description: Screw, 2.4mm x 24mm, Trellis family
UDI: 00812345678
Drawing Number: DRW-55210-01
Material: Ti 6Al-4V ELI
[example — replace with text pasted from your own PDF/extractor output]</t>
  </si>
  <si>
    <t xml:space="preserve">Run: Alt+F8 -&gt; ParseAndFill (stages rows below) -&gt; review -&gt; Alt+F8 -&gt; InsertParsedRow (writes them in).</t>
  </si>
  <si>
    <t xml:space="preserve">Field</t>
  </si>
  <si>
    <t xml:space="preserve">Value</t>
  </si>
  <si>
    <t xml:space="preserve">Destination Cell</t>
  </si>
  <si>
    <t xml:space="preserve">B17</t>
  </si>
  <si>
    <t xml:space="preserve">Ready to insert</t>
  </si>
  <si>
    <t xml:space="preserve">C17</t>
  </si>
  <si>
    <t xml:space="preserve">00812345678</t>
  </si>
  <si>
    <t xml:space="preserve">D17</t>
  </si>
  <si>
    <t xml:space="preserve">DRW-55210-01</t>
  </si>
  <si>
    <t xml:space="preserve">E17</t>
  </si>
  <si>
    <t xml:space="preserve">G17</t>
  </si>
  <si>
    <t xml:space="preserve">(Example of what the preview table looks like after running ParseAndFill in Excel with the VBA add-on loaded — illustrative only; this .xlsx has no macros attached, so the table above is a static example, not live output.)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</si>
</sst>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</row>
    <row r="10" customFormat="false" ht="15" hidden="false" customHeight="false" outlineLevel="0" collapsed="false">
      <c r="B10" s="7" t="str">
        <f aca="false">IFERROR(INDEX('Master Catalog'!$B$2:$B$16,MATCH($C$6&amp;"|"&amp;1,'Master Catalog'!$L$2:$L$16,0)),"")</f>
        <v>TRL-110-1</v>
      </c>
      <c r="C10" s="7" t="str">
        <f aca="false">IFERROR(INDEX('Master Catalog'!$C$2:$C$16,MATCH($B10,'Master Catalog'!$B$2:$B$16,0)),"")</f>
        <v>Screw, 2.4mm x 24mm, Trellis family</v>
      </c>
      <c r="D10" s="7" t="str">
        <f aca="false">IFERROR(INDEX('Country Registrations'!$E$2:$E$76,MATCH($C$5&amp;"|"&amp;$B10,'Country Registrations'!$I$2:$I$76,0)),"")</f>
        <v>Trellis Forearm System - USA Registration</v>
      </c>
      <c r="E10" s="7" t="str">
        <f aca="false">IFERROR(INDEX('Country Registrations'!$F$2:$F$76,MATCH($C$5&amp;"|"&amp;$B10,'Country Registrations'!$I$2:$I$76,0)),"")</f>
        <v>K233080</v>
      </c>
      <c r="F10" s="7" t="str">
        <f aca="false">IFERROR(INDEX('Country Registrations'!$G$2:$G$76,MATCH($C$5&amp;"|"&amp;$B10,'Country Registrations'!$I$2:$I$76,0)),"")</f>
        <v>12/03/2023</v>
      </c>
      <c r="G10" s="7" t="str">
        <f aca="false">IFERROR(INDEX('Country Registrations'!$H$2:$H$76,MATCH($C$5&amp;"|"&amp;$B10,'Country Registrations'!$I$2:$I$76,0)),"")</f>
        <v>N/A</v>
      </c>
    </row>
    <row r="11" customFormat="false" ht="15" hidden="false" customHeight="false" outlineLevel="0" collapsed="false">
      <c r="B11" s="7" t="str">
        <f aca="false">IFERROR(INDEX('Master Catalog'!$B$2:$B$16,MATCH($C$6&amp;"|"&amp;2,'Master Catalog'!$L$2:$L$16,0)),"")</f>
        <v>TRL-120-2</v>
      </c>
      <c r="C11" s="7" t="str">
        <f aca="false">IFERROR(INDEX('Master Catalog'!$C$2:$C$16,MATCH($B11,'Master Catalog'!$B$2:$B$16,0)),"")</f>
        <v>Instrument, 2.4mm x 10mm, Trellis family</v>
      </c>
      <c r="D11" s="7" t="str">
        <f aca="false">IFERROR(INDEX('Country Registrations'!$E$2:$E$76,MATCH($C$5&amp;"|"&amp;$B11,'Country Registrations'!$I$2:$I$76,0)),"")</f>
        <v>Trellis Forearm System - USA Registration</v>
      </c>
      <c r="E11" s="7" t="str">
        <f aca="false">IFERROR(INDEX('Country Registrations'!$F$2:$F$76,MATCH($C$5&amp;"|"&amp;$B11,'Country Registrations'!$I$2:$I$76,0)),"")</f>
        <v>K181714</v>
      </c>
      <c r="F11" s="7" t="str">
        <f aca="false">IFERROR(INDEX('Country Registrations'!$G$2:$G$76,MATCH($C$5&amp;"|"&amp;$B11,'Country Registrations'!$I$2:$I$76,0)),"")</f>
        <v>17/08/2020</v>
      </c>
      <c r="G11" s="7" t="str">
        <f aca="false">IFERROR(INDEX('Country Registrations'!$H$2:$H$76,MATCH($C$5&amp;"|"&amp;$B11,'Country Registrations'!$I$2:$I$76,0)),"")</f>
        <v>N/A</v>
      </c>
    </row>
    <row r="12" customFormat="false" ht="15" hidden="false" customHeight="false" outlineLevel="0" collapsed="false">
      <c r="B12" s="7" t="str">
        <f aca="false">IFERROR(INDEX('Master Catalog'!$B$2:$B$16,MATCH($C$6&amp;"|"&amp;3,'Master Catalog'!$L$2:$L$16,0)),"")</f>
        <v>TRL-130-3</v>
      </c>
      <c r="C12" s="7" t="str">
        <f aca="false">IFERROR(INDEX('Master Catalog'!$C$2:$C$16,MATCH($B12,'Master Catalog'!$B$2:$B$16,0)),"")</f>
        <v>Plate, 4.0mm x 20mm, Trellis family</v>
      </c>
      <c r="D12" s="7" t="str">
        <f aca="false">IFERROR(INDEX('Country Registrations'!$E$2:$E$76,MATCH($C$5&amp;"|"&amp;$B12,'Country Registrations'!$I$2:$I$76,0)),"")</f>
        <v>Trellis Forearm System - USA Registration</v>
      </c>
      <c r="E12" s="7" t="str">
        <f aca="false">IFERROR(INDEX('Country Registrations'!$F$2:$F$76,MATCH($C$5&amp;"|"&amp;$B12,'Country Registrations'!$I$2:$I$76,0)),"")</f>
        <v>K149914</v>
      </c>
      <c r="F12" s="7" t="str">
        <f aca="false">IFERROR(INDEX('Country Registrations'!$G$2:$G$76,MATCH($C$5&amp;"|"&amp;$B12,'Country Registrations'!$I$2:$I$76,0)),"")</f>
        <v>12/07/2015</v>
      </c>
      <c r="G12" s="7" t="str">
        <f aca="false">IFERROR(INDEX('Country Registrations'!$H$2:$H$76,MATCH($C$5&amp;"|"&amp;$B12,'Country Registrations'!$I$2:$I$76,0)),"")</f>
        <v>N/A</v>
      </c>
    </row>
    <row r="14" customFormat="false" ht="15" hidden="false" customHeight="false" outlineLevel="0" collapsed="false">
      <c r="B14" s="5" t="s">
        <v>13</v>
      </c>
      <c r="E14" s="8" t="n">
        <f aca="false">COUNTIFS('Master RIL'!$C$2:$C$61,$C$6,'Master RIL'!$H$2:$H$61,"Under Investigation")</f>
        <v>6</v>
      </c>
    </row>
  </sheetData>
  <dataValidations count="2">
    <dataValidation allowBlank="false" errorStyle="stop" operator="between" showDropDown="false" showErrorMessage="false" showInputMessage="false" sqref="C5" type="list">
      <formula1>"USA,Germany,Brazil,Japan,Australia"</formula1>
      <formula2>0</formula2>
    </dataValidation>
    <dataValidation allowBlank="false" errorStyle="stop" operator="between" showDropDown="false" showErrorMessage="false" showInputMessage="false" sqref="C6" type="list">
      <formula1>"Trellis Forearm System,Voltix Plating System,Anchorix Suture System,Radiant Nail System,Corvid Fragment System"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14</v>
      </c>
    </row>
    <row r="3" customFormat="false" ht="15" hidden="false" customHeight="false" outlineLevel="0" collapsed="false">
      <c r="B3" s="2" t="s">
        <v>15</v>
      </c>
    </row>
    <row r="4" customFormat="false" ht="15" hidden="false" customHeight="false" outlineLevel="0" collapsed="false">
      <c r="B4" s="2" t="s">
        <v>16</v>
      </c>
    </row>
    <row r="6" customFormat="false" ht="15" hidden="false" customHeight="false" outlineLevel="0" collapsed="false">
      <c r="B6" s="9"/>
    </row>
    <row r="7" customFormat="false" ht="15" hidden="false" customHeight="false" outlineLevel="0" collapsed="false">
      <c r="B7" s="9" t="s">
        <v>17</v>
      </c>
    </row>
    <row r="8" customFormat="false" ht="15" hidden="false" customHeight="false" outlineLevel="0" collapsed="false">
      <c r="B8" s="9" t="s">
        <v>18</v>
      </c>
    </row>
    <row r="9" customFormat="false" ht="15" hidden="false" customHeight="false" outlineLevel="0" collapsed="false">
      <c r="B9" s="9" t="s">
        <v>19</v>
      </c>
    </row>
    <row r="10" customFormat="false" ht="15" hidden="false" customHeight="false" outlineLevel="0" collapsed="false">
      <c r="B10" s="9" t="s">
        <v>20</v>
      </c>
    </row>
    <row r="11" customFormat="false" ht="15" hidden="false" customHeight="false" outlineLevel="0" collapsed="false">
      <c r="B11" s="9" t="s">
        <v>21</v>
      </c>
    </row>
    <row r="12" customFormat="false" ht="15" hidden="false" customHeight="false" outlineLevel="0" collapsed="false">
      <c r="B12" s="9" t="s">
        <v>22</v>
      </c>
    </row>
    <row r="13" customFormat="false" ht="15" hidden="false" customHeight="false" outlineLevel="0" collapsed="false">
      <c r="B13" s="9" t="s">
        <v>23</v>
      </c>
    </row>
    <row r="14" customFormat="false" ht="15" hidden="false" customHeight="false" outlineLevel="0" collapsed="false">
      <c r="B14" s="9"/>
    </row>
    <row r="15" customFormat="false" ht="15" hidden="false" customHeight="false" outlineLevel="0" collapsed="false">
      <c r="B15" s="9" t="s">
        <v>24</v>
      </c>
    </row>
    <row r="16" customFormat="false" ht="15" hidden="false" customHeight="false" outlineLevel="0" collapsed="false">
      <c r="B16" s="9" t="s">
        <v>25</v>
      </c>
    </row>
    <row r="17" customFormat="false" ht="15" hidden="false" customHeight="false" outlineLevel="0" collapsed="false">
      <c r="B17" s="9" t="s">
        <v>26</v>
      </c>
    </row>
    <row r="18" customFormat="false" ht="15" hidden="false" customHeight="false" outlineLevel="0" collapsed="false">
      <c r="B18" s="9" t="s">
        <v>27</v>
      </c>
    </row>
    <row r="19" customFormat="false" ht="15" hidden="false" customHeight="false" outlineLevel="0" collapsed="false">
      <c r="B19" s="9" t="s">
        <v>28</v>
      </c>
    </row>
    <row r="20" customFormat="false" ht="15" hidden="false" customHeight="false" outlineLevel="0" collapsed="false">
      <c r="B20" s="9" t="s">
        <v>29</v>
      </c>
    </row>
    <row r="21" customFormat="false" ht="15" hidden="false" customHeight="false" outlineLevel="0" collapsed="false">
      <c r="B21" s="9" t="s">
        <v>30</v>
      </c>
    </row>
    <row r="22" customFormat="false" ht="15" hidden="false" customHeight="false" outlineLevel="0" collapsed="false">
      <c r="B22" s="9" t="s">
        <v>31</v>
      </c>
    </row>
    <row r="23" customFormat="false" ht="15" hidden="false" customHeight="false" outlineLevel="0" collapsed="false">
      <c r="B23" s="9" t="s">
        <v>32</v>
      </c>
    </row>
    <row r="24" customFormat="false" ht="15" hidden="false" customHeight="false" outlineLevel="0" collapsed="false">
      <c r="B24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24"/>
    <col collapsed="false" customWidth="true" hidden="false" outlineLevel="0" max="11" min="11" style="0" width="9"/>
    <col collapsed="false" customWidth="true" hidden="false" outlineLevel="0" max="12" min="12" style="0" width="20"/>
  </cols>
  <sheetData>
    <row r="1" customFormat="false" ht="23.85" hidden="false" customHeight="false" outlineLevel="0" collapsed="false">
      <c r="A1" s="6" t="s">
        <v>34</v>
      </c>
      <c r="B1" s="6" t="s">
        <v>7</v>
      </c>
      <c r="C1" s="6" t="s">
        <v>8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</row>
    <row r="2" customFormat="false" ht="15" hidden="false" customHeight="false" outlineLevel="0" collapsed="false">
      <c r="A2" s="7" t="s">
        <v>44</v>
      </c>
      <c r="B2" s="7" t="s">
        <v>45</v>
      </c>
      <c r="C2" s="7" t="s">
        <v>46</v>
      </c>
      <c r="D2" s="7" t="s">
        <v>47</v>
      </c>
      <c r="E2" s="7" t="s">
        <v>48</v>
      </c>
      <c r="F2" s="7" t="s">
        <v>49</v>
      </c>
      <c r="G2" s="7" t="s">
        <v>50</v>
      </c>
      <c r="H2" s="7" t="s">
        <v>51</v>
      </c>
      <c r="I2" s="7" t="s">
        <v>51</v>
      </c>
      <c r="J2" s="7" t="s">
        <v>5</v>
      </c>
      <c r="K2" s="7" t="n">
        <v>1</v>
      </c>
      <c r="L2" s="7" t="str">
        <f aca="false">J2&amp;"|"&amp;K2</f>
        <v>Trellis Forearm System|1</v>
      </c>
    </row>
    <row r="3" customFormat="false" ht="15" hidden="false" customHeight="false" outlineLevel="0" collapsed="false">
      <c r="A3" s="7" t="s">
        <v>52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58</v>
      </c>
      <c r="H3" s="7" t="s">
        <v>51</v>
      </c>
      <c r="I3" s="7" t="s">
        <v>59</v>
      </c>
      <c r="J3" s="7" t="s">
        <v>5</v>
      </c>
      <c r="K3" s="7" t="n">
        <v>2</v>
      </c>
      <c r="L3" s="7" t="str">
        <f aca="false">J3&amp;"|"&amp;K3</f>
        <v>Trellis Forearm System|2</v>
      </c>
    </row>
    <row r="4" customFormat="false" ht="15" hidden="false" customHeight="false" outlineLevel="0" collapsed="false">
      <c r="A4" s="7" t="s">
        <v>60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  <c r="G4" s="7" t="s">
        <v>66</v>
      </c>
      <c r="H4" s="7" t="s">
        <v>59</v>
      </c>
      <c r="I4" s="7" t="s">
        <v>51</v>
      </c>
      <c r="J4" s="7" t="s">
        <v>5</v>
      </c>
      <c r="K4" s="7" t="n">
        <v>3</v>
      </c>
      <c r="L4" s="7" t="str">
        <f aca="false">J4&amp;"|"&amp;K4</f>
        <v>Trellis Forearm System|3</v>
      </c>
    </row>
    <row r="5" customFormat="false" ht="15" hidden="false" customHeight="false" outlineLevel="0" collapsed="false">
      <c r="A5" s="7" t="s">
        <v>60</v>
      </c>
      <c r="B5" s="7" t="s">
        <v>67</v>
      </c>
      <c r="C5" s="7" t="s">
        <v>68</v>
      </c>
      <c r="D5" s="7" t="s">
        <v>69</v>
      </c>
      <c r="E5" s="7" t="s">
        <v>70</v>
      </c>
      <c r="F5" s="7" t="s">
        <v>71</v>
      </c>
      <c r="G5" s="7" t="s">
        <v>58</v>
      </c>
      <c r="H5" s="7" t="s">
        <v>59</v>
      </c>
      <c r="I5" s="7" t="s">
        <v>51</v>
      </c>
      <c r="J5" s="7" t="s">
        <v>72</v>
      </c>
      <c r="K5" s="7" t="n">
        <v>1</v>
      </c>
      <c r="L5" s="7" t="str">
        <f aca="false">J5&amp;"|"&amp;K5</f>
        <v>Voltix Plating System|1</v>
      </c>
    </row>
    <row r="6" customFormat="false" ht="15" hidden="false" customHeight="false" outlineLevel="0" collapsed="false">
      <c r="A6" s="7" t="s">
        <v>73</v>
      </c>
      <c r="B6" s="7" t="s">
        <v>74</v>
      </c>
      <c r="C6" s="7" t="s">
        <v>75</v>
      </c>
      <c r="D6" s="7" t="s">
        <v>76</v>
      </c>
      <c r="E6" s="7" t="s">
        <v>77</v>
      </c>
      <c r="F6" s="7" t="s">
        <v>78</v>
      </c>
      <c r="G6" s="7" t="s">
        <v>66</v>
      </c>
      <c r="H6" s="7" t="s">
        <v>51</v>
      </c>
      <c r="I6" s="7" t="s">
        <v>51</v>
      </c>
      <c r="J6" s="7" t="s">
        <v>72</v>
      </c>
      <c r="K6" s="7" t="n">
        <v>2</v>
      </c>
      <c r="L6" s="7" t="str">
        <f aca="false">J6&amp;"|"&amp;K6</f>
        <v>Voltix Plating System|2</v>
      </c>
    </row>
    <row r="7" customFormat="false" ht="15" hidden="false" customHeight="false" outlineLevel="0" collapsed="false">
      <c r="A7" s="7" t="s">
        <v>73</v>
      </c>
      <c r="B7" s="7" t="s">
        <v>79</v>
      </c>
      <c r="C7" s="7" t="s">
        <v>80</v>
      </c>
      <c r="D7" s="7" t="s">
        <v>81</v>
      </c>
      <c r="E7" s="7" t="s">
        <v>82</v>
      </c>
      <c r="F7" s="7" t="s">
        <v>83</v>
      </c>
      <c r="G7" s="7" t="s">
        <v>50</v>
      </c>
      <c r="H7" s="7" t="s">
        <v>59</v>
      </c>
      <c r="I7" s="7" t="s">
        <v>51</v>
      </c>
      <c r="J7" s="7" t="s">
        <v>72</v>
      </c>
      <c r="K7" s="7" t="n">
        <v>3</v>
      </c>
      <c r="L7" s="7" t="str">
        <f aca="false">J7&amp;"|"&amp;K7</f>
        <v>Voltix Plating System|3</v>
      </c>
    </row>
    <row r="8" customFormat="false" ht="15" hidden="false" customHeight="false" outlineLevel="0" collapsed="false">
      <c r="A8" s="7" t="s">
        <v>60</v>
      </c>
      <c r="B8" s="7" t="s">
        <v>84</v>
      </c>
      <c r="C8" s="7" t="s">
        <v>85</v>
      </c>
      <c r="D8" s="7" t="s">
        <v>86</v>
      </c>
      <c r="E8" s="7" t="s">
        <v>87</v>
      </c>
      <c r="F8" s="7" t="s">
        <v>88</v>
      </c>
      <c r="G8" s="7" t="s">
        <v>50</v>
      </c>
      <c r="H8" s="7" t="s">
        <v>59</v>
      </c>
      <c r="I8" s="7" t="s">
        <v>51</v>
      </c>
      <c r="J8" s="7" t="s">
        <v>89</v>
      </c>
      <c r="K8" s="7" t="n">
        <v>1</v>
      </c>
      <c r="L8" s="7" t="str">
        <f aca="false">J8&amp;"|"&amp;K8</f>
        <v>Anchorix Suture System|1</v>
      </c>
    </row>
    <row r="9" customFormat="false" ht="15" hidden="false" customHeight="false" outlineLevel="0" collapsed="false">
      <c r="A9" s="7" t="s">
        <v>60</v>
      </c>
      <c r="B9" s="7" t="s">
        <v>90</v>
      </c>
      <c r="C9" s="7" t="s">
        <v>91</v>
      </c>
      <c r="D9" s="7" t="s">
        <v>92</v>
      </c>
      <c r="E9" s="7" t="s">
        <v>93</v>
      </c>
      <c r="F9" s="7" t="s">
        <v>94</v>
      </c>
      <c r="G9" s="7" t="s">
        <v>50</v>
      </c>
      <c r="H9" s="7" t="s">
        <v>51</v>
      </c>
      <c r="I9" s="7" t="s">
        <v>51</v>
      </c>
      <c r="J9" s="7" t="s">
        <v>89</v>
      </c>
      <c r="K9" s="7" t="n">
        <v>2</v>
      </c>
      <c r="L9" s="7" t="str">
        <f aca="false">J9&amp;"|"&amp;K9</f>
        <v>Anchorix Suture System|2</v>
      </c>
    </row>
    <row r="10" customFormat="false" ht="15" hidden="false" customHeight="false" outlineLevel="0" collapsed="false">
      <c r="A10" s="7" t="s">
        <v>52</v>
      </c>
      <c r="B10" s="7" t="s">
        <v>95</v>
      </c>
      <c r="C10" s="7" t="s">
        <v>96</v>
      </c>
      <c r="D10" s="7" t="s">
        <v>97</v>
      </c>
      <c r="E10" s="7" t="s">
        <v>98</v>
      </c>
      <c r="F10" s="7" t="s">
        <v>99</v>
      </c>
      <c r="G10" s="7" t="s">
        <v>100</v>
      </c>
      <c r="H10" s="7" t="s">
        <v>51</v>
      </c>
      <c r="I10" s="7" t="s">
        <v>51</v>
      </c>
      <c r="J10" s="7" t="s">
        <v>89</v>
      </c>
      <c r="K10" s="7" t="n">
        <v>3</v>
      </c>
      <c r="L10" s="7" t="str">
        <f aca="false">J10&amp;"|"&amp;K10</f>
        <v>Anchorix Suture System|3</v>
      </c>
    </row>
    <row r="11" customFormat="false" ht="15" hidden="false" customHeight="false" outlineLevel="0" collapsed="false">
      <c r="A11" s="7" t="s">
        <v>44</v>
      </c>
      <c r="B11" s="7" t="s">
        <v>101</v>
      </c>
      <c r="C11" s="7" t="s">
        <v>102</v>
      </c>
      <c r="D11" s="7" t="s">
        <v>103</v>
      </c>
      <c r="E11" s="7" t="s">
        <v>104</v>
      </c>
      <c r="F11" s="7" t="s">
        <v>105</v>
      </c>
      <c r="G11" s="7" t="s">
        <v>100</v>
      </c>
      <c r="H11" s="7" t="s">
        <v>51</v>
      </c>
      <c r="I11" s="7" t="s">
        <v>59</v>
      </c>
      <c r="J11" s="7" t="s">
        <v>106</v>
      </c>
      <c r="K11" s="7" t="n">
        <v>1</v>
      </c>
      <c r="L11" s="7" t="str">
        <f aca="false">J11&amp;"|"&amp;K11</f>
        <v>Radiant Nail System|1</v>
      </c>
    </row>
    <row r="12" customFormat="false" ht="15" hidden="false" customHeight="false" outlineLevel="0" collapsed="false">
      <c r="A12" s="7" t="s">
        <v>52</v>
      </c>
      <c r="B12" s="7" t="s">
        <v>107</v>
      </c>
      <c r="C12" s="7" t="s">
        <v>108</v>
      </c>
      <c r="D12" s="7" t="s">
        <v>109</v>
      </c>
      <c r="E12" s="7" t="s">
        <v>110</v>
      </c>
      <c r="F12" s="7" t="s">
        <v>111</v>
      </c>
      <c r="G12" s="7" t="s">
        <v>100</v>
      </c>
      <c r="H12" s="7" t="s">
        <v>59</v>
      </c>
      <c r="I12" s="7" t="s">
        <v>59</v>
      </c>
      <c r="J12" s="7" t="s">
        <v>106</v>
      </c>
      <c r="K12" s="7" t="n">
        <v>2</v>
      </c>
      <c r="L12" s="7" t="str">
        <f aca="false">J12&amp;"|"&amp;K12</f>
        <v>Radiant Nail System|2</v>
      </c>
    </row>
    <row r="13" customFormat="false" ht="15" hidden="false" customHeight="false" outlineLevel="0" collapsed="false">
      <c r="A13" s="7" t="s">
        <v>73</v>
      </c>
      <c r="B13" s="7" t="s">
        <v>112</v>
      </c>
      <c r="C13" s="7" t="s">
        <v>113</v>
      </c>
      <c r="D13" s="7" t="s">
        <v>114</v>
      </c>
      <c r="E13" s="7" t="s">
        <v>115</v>
      </c>
      <c r="F13" s="7" t="s">
        <v>116</v>
      </c>
      <c r="G13" s="7" t="s">
        <v>58</v>
      </c>
      <c r="H13" s="7" t="s">
        <v>51</v>
      </c>
      <c r="I13" s="7" t="s">
        <v>51</v>
      </c>
      <c r="J13" s="7" t="s">
        <v>106</v>
      </c>
      <c r="K13" s="7" t="n">
        <v>3</v>
      </c>
      <c r="L13" s="7" t="str">
        <f aca="false">J13&amp;"|"&amp;K13</f>
        <v>Radiant Nail System|3</v>
      </c>
    </row>
    <row r="14" customFormat="false" ht="15" hidden="false" customHeight="false" outlineLevel="0" collapsed="false">
      <c r="A14" s="7" t="s">
        <v>60</v>
      </c>
      <c r="B14" s="7" t="s">
        <v>117</v>
      </c>
      <c r="C14" s="7" t="s">
        <v>118</v>
      </c>
      <c r="D14" s="7" t="s">
        <v>119</v>
      </c>
      <c r="E14" s="7" t="s">
        <v>120</v>
      </c>
      <c r="F14" s="7" t="s">
        <v>121</v>
      </c>
      <c r="G14" s="7" t="s">
        <v>66</v>
      </c>
      <c r="H14" s="7" t="s">
        <v>59</v>
      </c>
      <c r="I14" s="7" t="s">
        <v>51</v>
      </c>
      <c r="J14" s="7" t="s">
        <v>122</v>
      </c>
      <c r="K14" s="7" t="n">
        <v>1</v>
      </c>
      <c r="L14" s="7" t="str">
        <f aca="false">J14&amp;"|"&amp;K14</f>
        <v>Corvid Fragment System|1</v>
      </c>
    </row>
    <row r="15" customFormat="false" ht="15" hidden="false" customHeight="false" outlineLevel="0" collapsed="false">
      <c r="A15" s="7" t="s">
        <v>44</v>
      </c>
      <c r="B15" s="7" t="s">
        <v>123</v>
      </c>
      <c r="C15" s="7" t="s">
        <v>124</v>
      </c>
      <c r="D15" s="7" t="s">
        <v>125</v>
      </c>
      <c r="E15" s="7" t="s">
        <v>126</v>
      </c>
      <c r="F15" s="7" t="s">
        <v>127</v>
      </c>
      <c r="G15" s="7" t="s">
        <v>58</v>
      </c>
      <c r="H15" s="7" t="s">
        <v>59</v>
      </c>
      <c r="I15" s="7" t="s">
        <v>59</v>
      </c>
      <c r="J15" s="7" t="s">
        <v>122</v>
      </c>
      <c r="K15" s="7" t="n">
        <v>2</v>
      </c>
      <c r="L15" s="7" t="str">
        <f aca="false">J15&amp;"|"&amp;K15</f>
        <v>Corvid Fragment System|2</v>
      </c>
    </row>
    <row r="16" customFormat="false" ht="15" hidden="false" customHeight="false" outlineLevel="0" collapsed="false">
      <c r="A16" s="7" t="s">
        <v>60</v>
      </c>
      <c r="B16" s="7" t="s">
        <v>128</v>
      </c>
      <c r="C16" s="7" t="s">
        <v>129</v>
      </c>
      <c r="D16" s="7" t="s">
        <v>130</v>
      </c>
      <c r="E16" s="7" t="s">
        <v>131</v>
      </c>
      <c r="F16" s="7" t="s">
        <v>132</v>
      </c>
      <c r="G16" s="7" t="s">
        <v>50</v>
      </c>
      <c r="H16" s="7" t="s">
        <v>51</v>
      </c>
      <c r="I16" s="7" t="s">
        <v>51</v>
      </c>
      <c r="J16" s="7" t="s">
        <v>122</v>
      </c>
      <c r="K16" s="7" t="n">
        <v>3</v>
      </c>
      <c r="L16" s="7" t="str">
        <f aca="false">J16&amp;"|"&amp;K16</f>
        <v>Corvid Fragment System|3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20"/>
  </cols>
  <sheetData>
    <row r="1" customFormat="false" ht="23.85" hidden="false" customHeight="false" outlineLevel="0" collapsed="false">
      <c r="A1" s="6" t="s">
        <v>7</v>
      </c>
      <c r="B1" s="6" t="s">
        <v>5</v>
      </c>
      <c r="C1" s="6" t="s">
        <v>72</v>
      </c>
      <c r="D1" s="6" t="s">
        <v>89</v>
      </c>
      <c r="E1" s="6" t="s">
        <v>106</v>
      </c>
      <c r="F1" s="6" t="s">
        <v>122</v>
      </c>
    </row>
    <row r="2" customFormat="false" ht="15" hidden="false" customHeight="false" outlineLevel="0" collapsed="false">
      <c r="A2" s="7" t="s">
        <v>45</v>
      </c>
      <c r="B2" s="10" t="s">
        <v>133</v>
      </c>
      <c r="C2" s="10"/>
      <c r="D2" s="10"/>
      <c r="E2" s="10"/>
      <c r="F2" s="10"/>
    </row>
    <row r="3" customFormat="false" ht="15" hidden="false" customHeight="false" outlineLevel="0" collapsed="false">
      <c r="A3" s="7" t="s">
        <v>53</v>
      </c>
      <c r="B3" s="10" t="s">
        <v>133</v>
      </c>
      <c r="C3" s="10"/>
      <c r="D3" s="10"/>
      <c r="E3" s="10"/>
      <c r="F3" s="10"/>
    </row>
    <row r="4" customFormat="false" ht="15" hidden="false" customHeight="false" outlineLevel="0" collapsed="false">
      <c r="A4" s="7" t="s">
        <v>61</v>
      </c>
      <c r="B4" s="10" t="s">
        <v>133</v>
      </c>
      <c r="C4" s="10"/>
      <c r="D4" s="10"/>
      <c r="E4" s="10"/>
      <c r="F4" s="10"/>
    </row>
    <row r="5" customFormat="false" ht="15" hidden="false" customHeight="false" outlineLevel="0" collapsed="false">
      <c r="A5" s="7" t="s">
        <v>67</v>
      </c>
      <c r="B5" s="10"/>
      <c r="C5" s="10" t="s">
        <v>133</v>
      </c>
      <c r="D5" s="10"/>
      <c r="E5" s="10"/>
      <c r="F5" s="10"/>
    </row>
    <row r="6" customFormat="false" ht="15" hidden="false" customHeight="false" outlineLevel="0" collapsed="false">
      <c r="A6" s="7" t="s">
        <v>74</v>
      </c>
      <c r="B6" s="10"/>
      <c r="C6" s="10" t="s">
        <v>133</v>
      </c>
      <c r="D6" s="10"/>
      <c r="E6" s="10"/>
      <c r="F6" s="10"/>
    </row>
    <row r="7" customFormat="false" ht="15" hidden="false" customHeight="false" outlineLevel="0" collapsed="false">
      <c r="A7" s="7" t="s">
        <v>79</v>
      </c>
      <c r="B7" s="10"/>
      <c r="C7" s="10" t="s">
        <v>133</v>
      </c>
      <c r="D7" s="10"/>
      <c r="E7" s="10"/>
      <c r="F7" s="10"/>
    </row>
    <row r="8" customFormat="false" ht="15" hidden="false" customHeight="false" outlineLevel="0" collapsed="false">
      <c r="A8" s="7" t="s">
        <v>84</v>
      </c>
      <c r="B8" s="10"/>
      <c r="C8" s="10"/>
      <c r="D8" s="10" t="s">
        <v>133</v>
      </c>
      <c r="E8" s="10"/>
      <c r="F8" s="10"/>
    </row>
    <row r="9" customFormat="false" ht="15" hidden="false" customHeight="false" outlineLevel="0" collapsed="false">
      <c r="A9" s="7" t="s">
        <v>90</v>
      </c>
      <c r="B9" s="10"/>
      <c r="C9" s="10"/>
      <c r="D9" s="10" t="s">
        <v>133</v>
      </c>
      <c r="E9" s="10"/>
      <c r="F9" s="10"/>
    </row>
    <row r="10" customFormat="false" ht="15" hidden="false" customHeight="false" outlineLevel="0" collapsed="false">
      <c r="A10" s="7" t="s">
        <v>95</v>
      </c>
      <c r="B10" s="10"/>
      <c r="C10" s="10"/>
      <c r="D10" s="10" t="s">
        <v>133</v>
      </c>
      <c r="E10" s="10"/>
      <c r="F10" s="10"/>
    </row>
    <row r="11" customFormat="false" ht="15" hidden="false" customHeight="false" outlineLevel="0" collapsed="false">
      <c r="A11" s="7" t="s">
        <v>101</v>
      </c>
      <c r="B11" s="10"/>
      <c r="C11" s="10"/>
      <c r="D11" s="10"/>
      <c r="E11" s="10" t="s">
        <v>133</v>
      </c>
      <c r="F11" s="10"/>
    </row>
    <row r="12" customFormat="false" ht="15" hidden="false" customHeight="false" outlineLevel="0" collapsed="false">
      <c r="A12" s="7" t="s">
        <v>107</v>
      </c>
      <c r="B12" s="10"/>
      <c r="C12" s="10"/>
      <c r="D12" s="10"/>
      <c r="E12" s="10" t="s">
        <v>133</v>
      </c>
      <c r="F12" s="10"/>
    </row>
    <row r="13" customFormat="false" ht="15" hidden="false" customHeight="false" outlineLevel="0" collapsed="false">
      <c r="A13" s="7" t="s">
        <v>112</v>
      </c>
      <c r="B13" s="10"/>
      <c r="C13" s="10"/>
      <c r="D13" s="10"/>
      <c r="E13" s="10" t="s">
        <v>133</v>
      </c>
      <c r="F13" s="10"/>
    </row>
    <row r="14" customFormat="false" ht="15" hidden="false" customHeight="false" outlineLevel="0" collapsed="false">
      <c r="A14" s="7" t="s">
        <v>117</v>
      </c>
      <c r="B14" s="10"/>
      <c r="C14" s="10"/>
      <c r="D14" s="10"/>
      <c r="E14" s="10"/>
      <c r="F14" s="10" t="s">
        <v>133</v>
      </c>
    </row>
    <row r="15" customFormat="false" ht="15" hidden="false" customHeight="false" outlineLevel="0" collapsed="false">
      <c r="A15" s="7" t="s">
        <v>123</v>
      </c>
      <c r="B15" s="10"/>
      <c r="C15" s="10"/>
      <c r="D15" s="10"/>
      <c r="E15" s="10"/>
      <c r="F15" s="10" t="s">
        <v>133</v>
      </c>
    </row>
    <row r="16" customFormat="false" ht="15" hidden="false" customHeight="false" outlineLevel="0" collapsed="false">
      <c r="A16" s="7" t="s">
        <v>128</v>
      </c>
      <c r="B16" s="10"/>
      <c r="C16" s="10"/>
      <c r="D16" s="10"/>
      <c r="E16" s="10"/>
      <c r="F16" s="1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22"/>
  </cols>
  <sheetData>
    <row r="1" customFormat="false" ht="23.85" hidden="false" customHeight="false" outlineLevel="0" collapsed="false">
      <c r="A1" s="6" t="s">
        <v>7</v>
      </c>
      <c r="B1" s="6" t="s">
        <v>134</v>
      </c>
      <c r="C1" s="6" t="s">
        <v>135</v>
      </c>
      <c r="D1" s="6" t="s">
        <v>136</v>
      </c>
      <c r="E1" s="6" t="s">
        <v>9</v>
      </c>
      <c r="F1" s="6" t="s">
        <v>137</v>
      </c>
      <c r="G1" s="6" t="s">
        <v>11</v>
      </c>
      <c r="H1" s="6" t="s">
        <v>12</v>
      </c>
      <c r="I1" s="6" t="s">
        <v>138</v>
      </c>
    </row>
    <row r="2" customFormat="false" ht="15" hidden="false" customHeight="false" outlineLevel="0" collapsed="false">
      <c r="A2" s="7" t="s">
        <v>45</v>
      </c>
      <c r="B2" s="7" t="s">
        <v>3</v>
      </c>
      <c r="C2" s="7" t="s">
        <v>139</v>
      </c>
      <c r="D2" s="7" t="n">
        <v>3</v>
      </c>
      <c r="E2" s="7" t="s">
        <v>140</v>
      </c>
      <c r="F2" s="7" t="s">
        <v>141</v>
      </c>
      <c r="G2" s="7" t="s">
        <v>142</v>
      </c>
      <c r="H2" s="7" t="s">
        <v>143</v>
      </c>
      <c r="I2" s="7" t="str">
        <f aca="false">B2&amp;"|"&amp;A2</f>
        <v>USA|TRL-110-1</v>
      </c>
    </row>
    <row r="3" customFormat="false" ht="15" hidden="false" customHeight="false" outlineLevel="0" collapsed="false">
      <c r="A3" s="7" t="s">
        <v>45</v>
      </c>
      <c r="B3" s="7" t="s">
        <v>144</v>
      </c>
      <c r="C3" s="7" t="s">
        <v>145</v>
      </c>
      <c r="D3" s="7" t="n">
        <v>6</v>
      </c>
      <c r="E3" s="7" t="s">
        <v>146</v>
      </c>
      <c r="F3" s="7" t="s">
        <v>147</v>
      </c>
      <c r="G3" s="7" t="s">
        <v>148</v>
      </c>
      <c r="H3" s="7" t="s">
        <v>149</v>
      </c>
      <c r="I3" s="7" t="str">
        <f aca="false">B3&amp;"|"&amp;A3</f>
        <v>Germany|TRL-110-1</v>
      </c>
    </row>
    <row r="4" customFormat="false" ht="15" hidden="false" customHeight="false" outlineLevel="0" collapsed="false">
      <c r="A4" s="7" t="s">
        <v>45</v>
      </c>
      <c r="B4" s="7" t="s">
        <v>150</v>
      </c>
      <c r="C4" s="7" t="s">
        <v>145</v>
      </c>
      <c r="D4" s="7" t="n">
        <v>4</v>
      </c>
      <c r="E4" s="7" t="s">
        <v>151</v>
      </c>
      <c r="F4" s="7" t="s">
        <v>152</v>
      </c>
      <c r="G4" s="7" t="s">
        <v>153</v>
      </c>
      <c r="H4" s="7" t="s">
        <v>154</v>
      </c>
      <c r="I4" s="7" t="str">
        <f aca="false">B4&amp;"|"&amp;A4</f>
        <v>Brazil|TRL-110-1</v>
      </c>
    </row>
    <row r="5" customFormat="false" ht="15" hidden="false" customHeight="false" outlineLevel="0" collapsed="false">
      <c r="A5" s="7" t="s">
        <v>45</v>
      </c>
      <c r="B5" s="7" t="s">
        <v>155</v>
      </c>
      <c r="C5" s="7" t="s">
        <v>139</v>
      </c>
      <c r="D5" s="7" t="n">
        <v>3</v>
      </c>
      <c r="E5" s="7" t="s">
        <v>156</v>
      </c>
      <c r="F5" s="7" t="s">
        <v>157</v>
      </c>
      <c r="G5" s="7" t="s">
        <v>158</v>
      </c>
      <c r="H5" s="7" t="s">
        <v>159</v>
      </c>
      <c r="I5" s="7" t="str">
        <f aca="false">B5&amp;"|"&amp;A5</f>
        <v>Japan|TRL-110-1</v>
      </c>
    </row>
    <row r="6" customFormat="false" ht="15" hidden="false" customHeight="false" outlineLevel="0" collapsed="false">
      <c r="A6" s="7" t="s">
        <v>45</v>
      </c>
      <c r="B6" s="7" t="s">
        <v>160</v>
      </c>
      <c r="C6" s="7" t="s">
        <v>161</v>
      </c>
      <c r="D6" s="7" t="n">
        <v>4</v>
      </c>
      <c r="E6" s="7" t="s">
        <v>162</v>
      </c>
      <c r="F6" s="7" t="s">
        <v>163</v>
      </c>
      <c r="G6" s="7" t="s">
        <v>164</v>
      </c>
      <c r="H6" s="7" t="s">
        <v>165</v>
      </c>
      <c r="I6" s="7" t="str">
        <f aca="false">B6&amp;"|"&amp;A6</f>
        <v>Australia|TRL-110-1</v>
      </c>
    </row>
    <row r="7" customFormat="false" ht="15" hidden="false" customHeight="false" outlineLevel="0" collapsed="false">
      <c r="A7" s="7" t="s">
        <v>53</v>
      </c>
      <c r="B7" s="7" t="s">
        <v>3</v>
      </c>
      <c r="C7" s="7" t="s">
        <v>166</v>
      </c>
      <c r="D7" s="7" t="n">
        <v>8</v>
      </c>
      <c r="E7" s="7" t="s">
        <v>140</v>
      </c>
      <c r="F7" s="7" t="s">
        <v>167</v>
      </c>
      <c r="G7" s="7" t="s">
        <v>168</v>
      </c>
      <c r="H7" s="7" t="s">
        <v>143</v>
      </c>
      <c r="I7" s="7" t="str">
        <f aca="false">B7&amp;"|"&amp;A7</f>
        <v>USA|TRL-120-2</v>
      </c>
    </row>
    <row r="8" customFormat="false" ht="15" hidden="false" customHeight="false" outlineLevel="0" collapsed="false">
      <c r="A8" s="7" t="s">
        <v>53</v>
      </c>
      <c r="B8" s="7" t="s">
        <v>144</v>
      </c>
      <c r="C8" s="7" t="s">
        <v>139</v>
      </c>
      <c r="D8" s="7" t="n">
        <v>2</v>
      </c>
      <c r="E8" s="7" t="s">
        <v>146</v>
      </c>
      <c r="F8" s="7" t="s">
        <v>169</v>
      </c>
      <c r="G8" s="7" t="s">
        <v>170</v>
      </c>
      <c r="H8" s="7" t="s">
        <v>171</v>
      </c>
      <c r="I8" s="7" t="str">
        <f aca="false">B8&amp;"|"&amp;A8</f>
        <v>Germany|TRL-120-2</v>
      </c>
    </row>
    <row r="9" customFormat="false" ht="15" hidden="false" customHeight="false" outlineLevel="0" collapsed="false">
      <c r="A9" s="7" t="s">
        <v>53</v>
      </c>
      <c r="B9" s="7" t="s">
        <v>150</v>
      </c>
      <c r="C9" s="7" t="s">
        <v>139</v>
      </c>
      <c r="D9" s="7" t="n">
        <v>1</v>
      </c>
      <c r="E9" s="7" t="s">
        <v>151</v>
      </c>
      <c r="F9" s="7" t="s">
        <v>172</v>
      </c>
      <c r="G9" s="7" t="s">
        <v>173</v>
      </c>
      <c r="H9" s="7" t="s">
        <v>174</v>
      </c>
      <c r="I9" s="7" t="str">
        <f aca="false">B9&amp;"|"&amp;A9</f>
        <v>Brazil|TRL-120-2</v>
      </c>
    </row>
    <row r="10" customFormat="false" ht="15" hidden="false" customHeight="false" outlineLevel="0" collapsed="false">
      <c r="A10" s="7" t="s">
        <v>53</v>
      </c>
      <c r="B10" s="7" t="s">
        <v>155</v>
      </c>
      <c r="C10" s="7" t="s">
        <v>145</v>
      </c>
      <c r="D10" s="7" t="n">
        <v>6</v>
      </c>
      <c r="E10" s="7" t="s">
        <v>156</v>
      </c>
      <c r="F10" s="7" t="s">
        <v>175</v>
      </c>
      <c r="G10" s="7" t="s">
        <v>176</v>
      </c>
      <c r="H10" s="7" t="s">
        <v>177</v>
      </c>
      <c r="I10" s="7" t="str">
        <f aca="false">B10&amp;"|"&amp;A10</f>
        <v>Japan|TRL-120-2</v>
      </c>
    </row>
    <row r="11" customFormat="false" ht="15" hidden="false" customHeight="false" outlineLevel="0" collapsed="false">
      <c r="A11" s="7" t="s">
        <v>53</v>
      </c>
      <c r="B11" s="7" t="s">
        <v>160</v>
      </c>
      <c r="C11" s="7" t="s">
        <v>139</v>
      </c>
      <c r="D11" s="7" t="n">
        <v>8</v>
      </c>
      <c r="E11" s="7" t="s">
        <v>162</v>
      </c>
      <c r="F11" s="7" t="s">
        <v>178</v>
      </c>
      <c r="G11" s="7" t="s">
        <v>179</v>
      </c>
      <c r="H11" s="7" t="s">
        <v>180</v>
      </c>
      <c r="I11" s="7" t="str">
        <f aca="false">B11&amp;"|"&amp;A11</f>
        <v>Australia|TRL-120-2</v>
      </c>
    </row>
    <row r="12" customFormat="false" ht="15" hidden="false" customHeight="false" outlineLevel="0" collapsed="false">
      <c r="A12" s="7" t="s">
        <v>61</v>
      </c>
      <c r="B12" s="7" t="s">
        <v>3</v>
      </c>
      <c r="C12" s="7" t="s">
        <v>145</v>
      </c>
      <c r="D12" s="7" t="n">
        <v>7</v>
      </c>
      <c r="E12" s="7" t="s">
        <v>140</v>
      </c>
      <c r="F12" s="7" t="s">
        <v>181</v>
      </c>
      <c r="G12" s="7" t="s">
        <v>182</v>
      </c>
      <c r="H12" s="7" t="s">
        <v>143</v>
      </c>
      <c r="I12" s="7" t="str">
        <f aca="false">B12&amp;"|"&amp;A12</f>
        <v>USA|TRL-130-3</v>
      </c>
    </row>
    <row r="13" customFormat="false" ht="15" hidden="false" customHeight="false" outlineLevel="0" collapsed="false">
      <c r="A13" s="7" t="s">
        <v>61</v>
      </c>
      <c r="B13" s="7" t="s">
        <v>144</v>
      </c>
      <c r="C13" s="7" t="s">
        <v>145</v>
      </c>
      <c r="D13" s="7" t="n">
        <v>2</v>
      </c>
      <c r="E13" s="7" t="s">
        <v>146</v>
      </c>
      <c r="F13" s="7" t="s">
        <v>183</v>
      </c>
      <c r="G13" s="7" t="s">
        <v>184</v>
      </c>
      <c r="H13" s="7" t="s">
        <v>185</v>
      </c>
      <c r="I13" s="7" t="str">
        <f aca="false">B13&amp;"|"&amp;A13</f>
        <v>Germany|TRL-130-3</v>
      </c>
    </row>
    <row r="14" customFormat="false" ht="15" hidden="false" customHeight="false" outlineLevel="0" collapsed="false">
      <c r="A14" s="7" t="s">
        <v>61</v>
      </c>
      <c r="B14" s="7" t="s">
        <v>150</v>
      </c>
      <c r="C14" s="7" t="s">
        <v>139</v>
      </c>
      <c r="D14" s="7" t="n">
        <v>4</v>
      </c>
      <c r="E14" s="7" t="s">
        <v>151</v>
      </c>
      <c r="F14" s="7" t="s">
        <v>186</v>
      </c>
      <c r="G14" s="7" t="s">
        <v>187</v>
      </c>
      <c r="H14" s="7" t="s">
        <v>188</v>
      </c>
      <c r="I14" s="7" t="str">
        <f aca="false">B14&amp;"|"&amp;A14</f>
        <v>Brazil|TRL-130-3</v>
      </c>
    </row>
    <row r="15" customFormat="false" ht="15" hidden="false" customHeight="false" outlineLevel="0" collapsed="false">
      <c r="A15" s="7" t="s">
        <v>61</v>
      </c>
      <c r="B15" s="7" t="s">
        <v>155</v>
      </c>
      <c r="C15" s="7" t="s">
        <v>161</v>
      </c>
      <c r="D15" s="7" t="n">
        <v>4</v>
      </c>
      <c r="E15" s="7" t="s">
        <v>156</v>
      </c>
      <c r="F15" s="7" t="s">
        <v>189</v>
      </c>
      <c r="G15" s="7" t="s">
        <v>190</v>
      </c>
      <c r="H15" s="7" t="s">
        <v>191</v>
      </c>
      <c r="I15" s="7" t="str">
        <f aca="false">B15&amp;"|"&amp;A15</f>
        <v>Japan|TRL-130-3</v>
      </c>
    </row>
    <row r="16" customFormat="false" ht="15" hidden="false" customHeight="false" outlineLevel="0" collapsed="false">
      <c r="A16" s="7" t="s">
        <v>61</v>
      </c>
      <c r="B16" s="7" t="s">
        <v>160</v>
      </c>
      <c r="C16" s="7" t="s">
        <v>145</v>
      </c>
      <c r="D16" s="7" t="n">
        <v>2</v>
      </c>
      <c r="E16" s="7" t="s">
        <v>162</v>
      </c>
      <c r="F16" s="7" t="s">
        <v>192</v>
      </c>
      <c r="G16" s="7" t="s">
        <v>193</v>
      </c>
      <c r="H16" s="7" t="s">
        <v>194</v>
      </c>
      <c r="I16" s="7" t="str">
        <f aca="false">B16&amp;"|"&amp;A16</f>
        <v>Australia|TRL-130-3</v>
      </c>
    </row>
    <row r="17" customFormat="false" ht="15" hidden="false" customHeight="false" outlineLevel="0" collapsed="false">
      <c r="A17" s="7" t="s">
        <v>67</v>
      </c>
      <c r="B17" s="7" t="s">
        <v>3</v>
      </c>
      <c r="C17" s="7" t="s">
        <v>139</v>
      </c>
      <c r="D17" s="7" t="n">
        <v>7</v>
      </c>
      <c r="E17" s="7" t="s">
        <v>195</v>
      </c>
      <c r="F17" s="7" t="s">
        <v>196</v>
      </c>
      <c r="G17" s="7" t="s">
        <v>197</v>
      </c>
      <c r="H17" s="7" t="s">
        <v>143</v>
      </c>
      <c r="I17" s="7" t="str">
        <f aca="false">B17&amp;"|"&amp;A17</f>
        <v>USA|VLX-110-1</v>
      </c>
    </row>
    <row r="18" customFormat="false" ht="15" hidden="false" customHeight="false" outlineLevel="0" collapsed="false">
      <c r="A18" s="7" t="s">
        <v>67</v>
      </c>
      <c r="B18" s="7" t="s">
        <v>144</v>
      </c>
      <c r="C18" s="7" t="s">
        <v>161</v>
      </c>
      <c r="D18" s="7" t="n">
        <v>5</v>
      </c>
      <c r="E18" s="7" t="s">
        <v>198</v>
      </c>
      <c r="F18" s="7" t="s">
        <v>199</v>
      </c>
      <c r="G18" s="7" t="s">
        <v>200</v>
      </c>
      <c r="H18" s="7" t="s">
        <v>201</v>
      </c>
      <c r="I18" s="7" t="str">
        <f aca="false">B18&amp;"|"&amp;A18</f>
        <v>Germany|VLX-110-1</v>
      </c>
    </row>
    <row r="19" customFormat="false" ht="15" hidden="false" customHeight="false" outlineLevel="0" collapsed="false">
      <c r="A19" s="7" t="s">
        <v>67</v>
      </c>
      <c r="B19" s="7" t="s">
        <v>150</v>
      </c>
      <c r="C19" s="7" t="s">
        <v>139</v>
      </c>
      <c r="D19" s="7" t="n">
        <v>4</v>
      </c>
      <c r="E19" s="7" t="s">
        <v>202</v>
      </c>
      <c r="F19" s="7" t="s">
        <v>203</v>
      </c>
      <c r="G19" s="7" t="s">
        <v>204</v>
      </c>
      <c r="H19" s="7" t="s">
        <v>205</v>
      </c>
      <c r="I19" s="7" t="str">
        <f aca="false">B19&amp;"|"&amp;A19</f>
        <v>Brazil|VLX-110-1</v>
      </c>
    </row>
    <row r="20" customFormat="false" ht="15" hidden="false" customHeight="false" outlineLevel="0" collapsed="false">
      <c r="A20" s="7" t="s">
        <v>67</v>
      </c>
      <c r="B20" s="7" t="s">
        <v>155</v>
      </c>
      <c r="C20" s="7" t="s">
        <v>145</v>
      </c>
      <c r="D20" s="7" t="n">
        <v>6</v>
      </c>
      <c r="E20" s="7" t="s">
        <v>206</v>
      </c>
      <c r="F20" s="7" t="s">
        <v>207</v>
      </c>
      <c r="G20" s="7" t="s">
        <v>208</v>
      </c>
      <c r="H20" s="7" t="s">
        <v>209</v>
      </c>
      <c r="I20" s="7" t="str">
        <f aca="false">B20&amp;"|"&amp;A20</f>
        <v>Japan|VLX-110-1</v>
      </c>
    </row>
    <row r="21" customFormat="false" ht="15" hidden="false" customHeight="false" outlineLevel="0" collapsed="false">
      <c r="A21" s="7" t="s">
        <v>67</v>
      </c>
      <c r="B21" s="7" t="s">
        <v>160</v>
      </c>
      <c r="C21" s="7" t="s">
        <v>139</v>
      </c>
      <c r="D21" s="7" t="n">
        <v>1</v>
      </c>
      <c r="E21" s="7" t="s">
        <v>210</v>
      </c>
      <c r="F21" s="7" t="s">
        <v>211</v>
      </c>
      <c r="G21" s="7" t="s">
        <v>212</v>
      </c>
      <c r="H21" s="7" t="s">
        <v>213</v>
      </c>
      <c r="I21" s="7" t="str">
        <f aca="false">B21&amp;"|"&amp;A21</f>
        <v>Australia|VLX-110-1</v>
      </c>
    </row>
    <row r="22" customFormat="false" ht="15" hidden="false" customHeight="false" outlineLevel="0" collapsed="false">
      <c r="A22" s="7" t="s">
        <v>74</v>
      </c>
      <c r="B22" s="7" t="s">
        <v>3</v>
      </c>
      <c r="C22" s="7" t="s">
        <v>145</v>
      </c>
      <c r="D22" s="7" t="n">
        <v>4</v>
      </c>
      <c r="E22" s="7" t="s">
        <v>195</v>
      </c>
      <c r="F22" s="7" t="s">
        <v>214</v>
      </c>
      <c r="G22" s="7" t="s">
        <v>215</v>
      </c>
      <c r="H22" s="7" t="s">
        <v>143</v>
      </c>
      <c r="I22" s="7" t="str">
        <f aca="false">B22&amp;"|"&amp;A22</f>
        <v>USA|VLX-120-2</v>
      </c>
    </row>
    <row r="23" customFormat="false" ht="15" hidden="false" customHeight="false" outlineLevel="0" collapsed="false">
      <c r="A23" s="7" t="s">
        <v>74</v>
      </c>
      <c r="B23" s="7" t="s">
        <v>144</v>
      </c>
      <c r="C23" s="7" t="s">
        <v>145</v>
      </c>
      <c r="D23" s="7" t="n">
        <v>2</v>
      </c>
      <c r="E23" s="7" t="s">
        <v>198</v>
      </c>
      <c r="F23" s="7" t="s">
        <v>216</v>
      </c>
      <c r="G23" s="7" t="s">
        <v>217</v>
      </c>
      <c r="H23" s="7" t="s">
        <v>218</v>
      </c>
      <c r="I23" s="7" t="str">
        <f aca="false">B23&amp;"|"&amp;A23</f>
        <v>Germany|VLX-120-2</v>
      </c>
    </row>
    <row r="24" customFormat="false" ht="15" hidden="false" customHeight="false" outlineLevel="0" collapsed="false">
      <c r="A24" s="7" t="s">
        <v>74</v>
      </c>
      <c r="B24" s="7" t="s">
        <v>150</v>
      </c>
      <c r="C24" s="7" t="s">
        <v>166</v>
      </c>
      <c r="D24" s="7" t="n">
        <v>4</v>
      </c>
      <c r="E24" s="7" t="s">
        <v>202</v>
      </c>
      <c r="F24" s="7" t="s">
        <v>219</v>
      </c>
      <c r="G24" s="7" t="s">
        <v>220</v>
      </c>
      <c r="H24" s="7" t="s">
        <v>221</v>
      </c>
      <c r="I24" s="7" t="str">
        <f aca="false">B24&amp;"|"&amp;A24</f>
        <v>Brazil|VLX-120-2</v>
      </c>
    </row>
    <row r="25" customFormat="false" ht="15" hidden="false" customHeight="false" outlineLevel="0" collapsed="false">
      <c r="A25" s="7" t="s">
        <v>74</v>
      </c>
      <c r="B25" s="7" t="s">
        <v>155</v>
      </c>
      <c r="C25" s="7" t="s">
        <v>139</v>
      </c>
      <c r="D25" s="7" t="n">
        <v>5</v>
      </c>
      <c r="E25" s="7" t="s">
        <v>206</v>
      </c>
      <c r="F25" s="7" t="s">
        <v>222</v>
      </c>
      <c r="G25" s="7" t="s">
        <v>223</v>
      </c>
      <c r="H25" s="7" t="s">
        <v>224</v>
      </c>
      <c r="I25" s="7" t="str">
        <f aca="false">B25&amp;"|"&amp;A25</f>
        <v>Japan|VLX-120-2</v>
      </c>
    </row>
    <row r="26" customFormat="false" ht="15" hidden="false" customHeight="false" outlineLevel="0" collapsed="false">
      <c r="A26" s="7" t="s">
        <v>74</v>
      </c>
      <c r="B26" s="7" t="s">
        <v>160</v>
      </c>
      <c r="C26" s="7" t="s">
        <v>145</v>
      </c>
      <c r="D26" s="7" t="n">
        <v>2</v>
      </c>
      <c r="E26" s="7" t="s">
        <v>210</v>
      </c>
      <c r="F26" s="7" t="s">
        <v>225</v>
      </c>
      <c r="G26" s="7" t="s">
        <v>226</v>
      </c>
      <c r="H26" s="7" t="s">
        <v>227</v>
      </c>
      <c r="I26" s="7" t="str">
        <f aca="false">B26&amp;"|"&amp;A26</f>
        <v>Australia|VLX-120-2</v>
      </c>
    </row>
    <row r="27" customFormat="false" ht="15" hidden="false" customHeight="false" outlineLevel="0" collapsed="false">
      <c r="A27" s="7" t="s">
        <v>79</v>
      </c>
      <c r="B27" s="7" t="s">
        <v>3</v>
      </c>
      <c r="C27" s="7" t="s">
        <v>145</v>
      </c>
      <c r="D27" s="7" t="n">
        <v>4</v>
      </c>
      <c r="E27" s="7" t="s">
        <v>195</v>
      </c>
      <c r="F27" s="7" t="s">
        <v>228</v>
      </c>
      <c r="G27" s="7" t="s">
        <v>229</v>
      </c>
      <c r="H27" s="7" t="s">
        <v>143</v>
      </c>
      <c r="I27" s="7" t="str">
        <f aca="false">B27&amp;"|"&amp;A27</f>
        <v>USA|VLX-130-3</v>
      </c>
    </row>
    <row r="28" customFormat="false" ht="15" hidden="false" customHeight="false" outlineLevel="0" collapsed="false">
      <c r="A28" s="7" t="s">
        <v>79</v>
      </c>
      <c r="B28" s="7" t="s">
        <v>144</v>
      </c>
      <c r="C28" s="7" t="s">
        <v>166</v>
      </c>
      <c r="D28" s="7" t="n">
        <v>1</v>
      </c>
      <c r="E28" s="7" t="s">
        <v>198</v>
      </c>
      <c r="F28" s="7" t="s">
        <v>230</v>
      </c>
      <c r="G28" s="7" t="s">
        <v>231</v>
      </c>
      <c r="H28" s="7" t="s">
        <v>232</v>
      </c>
      <c r="I28" s="7" t="str">
        <f aca="false">B28&amp;"|"&amp;A28</f>
        <v>Germany|VLX-130-3</v>
      </c>
    </row>
    <row r="29" customFormat="false" ht="15" hidden="false" customHeight="false" outlineLevel="0" collapsed="false">
      <c r="A29" s="7" t="s">
        <v>79</v>
      </c>
      <c r="B29" s="7" t="s">
        <v>150</v>
      </c>
      <c r="C29" s="7" t="s">
        <v>166</v>
      </c>
      <c r="D29" s="7" t="n">
        <v>2</v>
      </c>
      <c r="E29" s="7" t="s">
        <v>202</v>
      </c>
      <c r="F29" s="7" t="s">
        <v>233</v>
      </c>
      <c r="G29" s="7" t="s">
        <v>234</v>
      </c>
      <c r="H29" s="7" t="s">
        <v>235</v>
      </c>
      <c r="I29" s="7" t="str">
        <f aca="false">B29&amp;"|"&amp;A29</f>
        <v>Brazil|VLX-130-3</v>
      </c>
    </row>
    <row r="30" customFormat="false" ht="15" hidden="false" customHeight="false" outlineLevel="0" collapsed="false">
      <c r="A30" s="7" t="s">
        <v>79</v>
      </c>
      <c r="B30" s="7" t="s">
        <v>155</v>
      </c>
      <c r="C30" s="7" t="s">
        <v>139</v>
      </c>
      <c r="D30" s="7" t="n">
        <v>6</v>
      </c>
      <c r="E30" s="7" t="s">
        <v>206</v>
      </c>
      <c r="F30" s="7" t="s">
        <v>236</v>
      </c>
      <c r="G30" s="7" t="s">
        <v>237</v>
      </c>
      <c r="H30" s="7" t="s">
        <v>238</v>
      </c>
      <c r="I30" s="7" t="str">
        <f aca="false">B30&amp;"|"&amp;A30</f>
        <v>Japan|VLX-130-3</v>
      </c>
    </row>
    <row r="31" customFormat="false" ht="15" hidden="false" customHeight="false" outlineLevel="0" collapsed="false">
      <c r="A31" s="7" t="s">
        <v>79</v>
      </c>
      <c r="B31" s="7" t="s">
        <v>160</v>
      </c>
      <c r="C31" s="7" t="s">
        <v>166</v>
      </c>
      <c r="D31" s="7" t="n">
        <v>1</v>
      </c>
      <c r="E31" s="7" t="s">
        <v>210</v>
      </c>
      <c r="F31" s="7" t="s">
        <v>239</v>
      </c>
      <c r="G31" s="7" t="s">
        <v>240</v>
      </c>
      <c r="H31" s="7" t="s">
        <v>241</v>
      </c>
      <c r="I31" s="7" t="str">
        <f aca="false">B31&amp;"|"&amp;A31</f>
        <v>Australia|VLX-130-3</v>
      </c>
    </row>
    <row r="32" customFormat="false" ht="15" hidden="false" customHeight="false" outlineLevel="0" collapsed="false">
      <c r="A32" s="7" t="s">
        <v>84</v>
      </c>
      <c r="B32" s="7" t="s">
        <v>3</v>
      </c>
      <c r="C32" s="7" t="s">
        <v>166</v>
      </c>
      <c r="D32" s="7" t="n">
        <v>3</v>
      </c>
      <c r="E32" s="7" t="s">
        <v>242</v>
      </c>
      <c r="F32" s="7" t="s">
        <v>243</v>
      </c>
      <c r="G32" s="7" t="s">
        <v>244</v>
      </c>
      <c r="H32" s="7" t="s">
        <v>143</v>
      </c>
      <c r="I32" s="7" t="str">
        <f aca="false">B32&amp;"|"&amp;A32</f>
        <v>USA|ANX-110-1</v>
      </c>
    </row>
    <row r="33" customFormat="false" ht="15" hidden="false" customHeight="false" outlineLevel="0" collapsed="false">
      <c r="A33" s="7" t="s">
        <v>84</v>
      </c>
      <c r="B33" s="7" t="s">
        <v>144</v>
      </c>
      <c r="C33" s="7" t="s">
        <v>161</v>
      </c>
      <c r="D33" s="7" t="n">
        <v>1</v>
      </c>
      <c r="E33" s="7" t="s">
        <v>245</v>
      </c>
      <c r="F33" s="7" t="s">
        <v>246</v>
      </c>
      <c r="G33" s="7" t="s">
        <v>247</v>
      </c>
      <c r="H33" s="7" t="s">
        <v>248</v>
      </c>
      <c r="I33" s="7" t="str">
        <f aca="false">B33&amp;"|"&amp;A33</f>
        <v>Germany|ANX-110-1</v>
      </c>
    </row>
    <row r="34" customFormat="false" ht="15" hidden="false" customHeight="false" outlineLevel="0" collapsed="false">
      <c r="A34" s="7" t="s">
        <v>84</v>
      </c>
      <c r="B34" s="7" t="s">
        <v>150</v>
      </c>
      <c r="C34" s="7" t="s">
        <v>166</v>
      </c>
      <c r="D34" s="7" t="n">
        <v>3</v>
      </c>
      <c r="E34" s="7" t="s">
        <v>249</v>
      </c>
      <c r="F34" s="7" t="s">
        <v>250</v>
      </c>
      <c r="G34" s="7" t="s">
        <v>251</v>
      </c>
      <c r="H34" s="7" t="s">
        <v>252</v>
      </c>
      <c r="I34" s="7" t="str">
        <f aca="false">B34&amp;"|"&amp;A34</f>
        <v>Brazil|ANX-110-1</v>
      </c>
    </row>
    <row r="35" customFormat="false" ht="15" hidden="false" customHeight="false" outlineLevel="0" collapsed="false">
      <c r="A35" s="7" t="s">
        <v>84</v>
      </c>
      <c r="B35" s="7" t="s">
        <v>155</v>
      </c>
      <c r="C35" s="7" t="s">
        <v>166</v>
      </c>
      <c r="D35" s="7" t="n">
        <v>4</v>
      </c>
      <c r="E35" s="7" t="s">
        <v>253</v>
      </c>
      <c r="F35" s="7" t="s">
        <v>254</v>
      </c>
      <c r="G35" s="7" t="s">
        <v>255</v>
      </c>
      <c r="H35" s="7" t="s">
        <v>256</v>
      </c>
      <c r="I35" s="7" t="str">
        <f aca="false">B35&amp;"|"&amp;A35</f>
        <v>Japan|ANX-110-1</v>
      </c>
    </row>
    <row r="36" customFormat="false" ht="15" hidden="false" customHeight="false" outlineLevel="0" collapsed="false">
      <c r="A36" s="7" t="s">
        <v>84</v>
      </c>
      <c r="B36" s="7" t="s">
        <v>160</v>
      </c>
      <c r="C36" s="7" t="s">
        <v>161</v>
      </c>
      <c r="D36" s="7" t="n">
        <v>3</v>
      </c>
      <c r="E36" s="7" t="s">
        <v>257</v>
      </c>
      <c r="F36" s="7" t="s">
        <v>258</v>
      </c>
      <c r="G36" s="7" t="s">
        <v>259</v>
      </c>
      <c r="H36" s="7" t="s">
        <v>260</v>
      </c>
      <c r="I36" s="7" t="str">
        <f aca="false">B36&amp;"|"&amp;A36</f>
        <v>Australia|ANX-110-1</v>
      </c>
    </row>
    <row r="37" customFormat="false" ht="15" hidden="false" customHeight="false" outlineLevel="0" collapsed="false">
      <c r="A37" s="7" t="s">
        <v>90</v>
      </c>
      <c r="B37" s="7" t="s">
        <v>3</v>
      </c>
      <c r="C37" s="7" t="s">
        <v>139</v>
      </c>
      <c r="D37" s="7" t="n">
        <v>6</v>
      </c>
      <c r="E37" s="7" t="s">
        <v>242</v>
      </c>
      <c r="F37" s="7" t="s">
        <v>261</v>
      </c>
      <c r="G37" s="7" t="s">
        <v>262</v>
      </c>
      <c r="H37" s="7" t="s">
        <v>143</v>
      </c>
      <c r="I37" s="7" t="str">
        <f aca="false">B37&amp;"|"&amp;A37</f>
        <v>USA|ANX-120-2</v>
      </c>
    </row>
    <row r="38" customFormat="false" ht="15" hidden="false" customHeight="false" outlineLevel="0" collapsed="false">
      <c r="A38" s="7" t="s">
        <v>90</v>
      </c>
      <c r="B38" s="7" t="s">
        <v>144</v>
      </c>
      <c r="C38" s="7" t="s">
        <v>139</v>
      </c>
      <c r="D38" s="7" t="n">
        <v>2</v>
      </c>
      <c r="E38" s="7" t="s">
        <v>245</v>
      </c>
      <c r="F38" s="7" t="s">
        <v>263</v>
      </c>
      <c r="G38" s="7" t="s">
        <v>264</v>
      </c>
      <c r="H38" s="7" t="s">
        <v>265</v>
      </c>
      <c r="I38" s="7" t="str">
        <f aca="false">B38&amp;"|"&amp;A38</f>
        <v>Germany|ANX-120-2</v>
      </c>
    </row>
    <row r="39" customFormat="false" ht="15" hidden="false" customHeight="false" outlineLevel="0" collapsed="false">
      <c r="A39" s="7" t="s">
        <v>90</v>
      </c>
      <c r="B39" s="7" t="s">
        <v>150</v>
      </c>
      <c r="C39" s="7" t="s">
        <v>161</v>
      </c>
      <c r="D39" s="7" t="n">
        <v>6</v>
      </c>
      <c r="E39" s="7" t="s">
        <v>249</v>
      </c>
      <c r="F39" s="7" t="s">
        <v>266</v>
      </c>
      <c r="G39" s="7" t="s">
        <v>267</v>
      </c>
      <c r="H39" s="7" t="s">
        <v>268</v>
      </c>
      <c r="I39" s="7" t="str">
        <f aca="false">B39&amp;"|"&amp;A39</f>
        <v>Brazil|ANX-120-2</v>
      </c>
    </row>
    <row r="40" customFormat="false" ht="15" hidden="false" customHeight="false" outlineLevel="0" collapsed="false">
      <c r="A40" s="7" t="s">
        <v>90</v>
      </c>
      <c r="B40" s="7" t="s">
        <v>155</v>
      </c>
      <c r="C40" s="7" t="s">
        <v>161</v>
      </c>
      <c r="D40" s="7" t="n">
        <v>6</v>
      </c>
      <c r="E40" s="7" t="s">
        <v>253</v>
      </c>
      <c r="F40" s="7" t="s">
        <v>269</v>
      </c>
      <c r="G40" s="7" t="s">
        <v>270</v>
      </c>
      <c r="H40" s="7" t="s">
        <v>271</v>
      </c>
      <c r="I40" s="7" t="str">
        <f aca="false">B40&amp;"|"&amp;A40</f>
        <v>Japan|ANX-120-2</v>
      </c>
    </row>
    <row r="41" customFormat="false" ht="15" hidden="false" customHeight="false" outlineLevel="0" collapsed="false">
      <c r="A41" s="7" t="s">
        <v>90</v>
      </c>
      <c r="B41" s="7" t="s">
        <v>160</v>
      </c>
      <c r="C41" s="7" t="s">
        <v>161</v>
      </c>
      <c r="D41" s="7" t="n">
        <v>6</v>
      </c>
      <c r="E41" s="7" t="s">
        <v>257</v>
      </c>
      <c r="F41" s="7" t="s">
        <v>272</v>
      </c>
      <c r="G41" s="7" t="s">
        <v>273</v>
      </c>
      <c r="H41" s="7" t="s">
        <v>274</v>
      </c>
      <c r="I41" s="7" t="str">
        <f aca="false">B41&amp;"|"&amp;A41</f>
        <v>Australia|ANX-120-2</v>
      </c>
    </row>
    <row r="42" customFormat="false" ht="15" hidden="false" customHeight="false" outlineLevel="0" collapsed="false">
      <c r="A42" s="7" t="s">
        <v>95</v>
      </c>
      <c r="B42" s="7" t="s">
        <v>3</v>
      </c>
      <c r="C42" s="7" t="s">
        <v>145</v>
      </c>
      <c r="D42" s="7" t="n">
        <v>7</v>
      </c>
      <c r="E42" s="7" t="s">
        <v>242</v>
      </c>
      <c r="F42" s="7" t="s">
        <v>275</v>
      </c>
      <c r="G42" s="7" t="s">
        <v>276</v>
      </c>
      <c r="H42" s="7" t="s">
        <v>143</v>
      </c>
      <c r="I42" s="7" t="str">
        <f aca="false">B42&amp;"|"&amp;A42</f>
        <v>USA|ANX-130-3</v>
      </c>
    </row>
    <row r="43" customFormat="false" ht="15" hidden="false" customHeight="false" outlineLevel="0" collapsed="false">
      <c r="A43" s="7" t="s">
        <v>95</v>
      </c>
      <c r="B43" s="7" t="s">
        <v>144</v>
      </c>
      <c r="C43" s="7" t="s">
        <v>145</v>
      </c>
      <c r="D43" s="7" t="n">
        <v>7</v>
      </c>
      <c r="E43" s="7" t="s">
        <v>245</v>
      </c>
      <c r="F43" s="7" t="s">
        <v>277</v>
      </c>
      <c r="G43" s="7" t="s">
        <v>278</v>
      </c>
      <c r="H43" s="7" t="s">
        <v>279</v>
      </c>
      <c r="I43" s="7" t="str">
        <f aca="false">B43&amp;"|"&amp;A43</f>
        <v>Germany|ANX-130-3</v>
      </c>
    </row>
    <row r="44" customFormat="false" ht="15" hidden="false" customHeight="false" outlineLevel="0" collapsed="false">
      <c r="A44" s="7" t="s">
        <v>95</v>
      </c>
      <c r="B44" s="7" t="s">
        <v>150</v>
      </c>
      <c r="C44" s="7" t="s">
        <v>139</v>
      </c>
      <c r="D44" s="7" t="n">
        <v>6</v>
      </c>
      <c r="E44" s="7" t="s">
        <v>249</v>
      </c>
      <c r="F44" s="7" t="s">
        <v>280</v>
      </c>
      <c r="G44" s="7" t="s">
        <v>281</v>
      </c>
      <c r="H44" s="7" t="s">
        <v>282</v>
      </c>
      <c r="I44" s="7" t="str">
        <f aca="false">B44&amp;"|"&amp;A44</f>
        <v>Brazil|ANX-130-3</v>
      </c>
    </row>
    <row r="45" customFormat="false" ht="15" hidden="false" customHeight="false" outlineLevel="0" collapsed="false">
      <c r="A45" s="7" t="s">
        <v>95</v>
      </c>
      <c r="B45" s="7" t="s">
        <v>155</v>
      </c>
      <c r="C45" s="7" t="s">
        <v>145</v>
      </c>
      <c r="D45" s="7" t="n">
        <v>5</v>
      </c>
      <c r="E45" s="7" t="s">
        <v>253</v>
      </c>
      <c r="F45" s="7" t="s">
        <v>283</v>
      </c>
      <c r="G45" s="7" t="s">
        <v>284</v>
      </c>
      <c r="H45" s="7" t="s">
        <v>285</v>
      </c>
      <c r="I45" s="7" t="str">
        <f aca="false">B45&amp;"|"&amp;A45</f>
        <v>Japan|ANX-130-3</v>
      </c>
    </row>
    <row r="46" customFormat="false" ht="15" hidden="false" customHeight="false" outlineLevel="0" collapsed="false">
      <c r="A46" s="7" t="s">
        <v>95</v>
      </c>
      <c r="B46" s="7" t="s">
        <v>160</v>
      </c>
      <c r="C46" s="7" t="s">
        <v>166</v>
      </c>
      <c r="D46" s="7" t="n">
        <v>3</v>
      </c>
      <c r="E46" s="7" t="s">
        <v>257</v>
      </c>
      <c r="F46" s="7" t="s">
        <v>286</v>
      </c>
      <c r="G46" s="7" t="s">
        <v>287</v>
      </c>
      <c r="H46" s="7" t="s">
        <v>288</v>
      </c>
      <c r="I46" s="7" t="str">
        <f aca="false">B46&amp;"|"&amp;A46</f>
        <v>Australia|ANX-130-3</v>
      </c>
    </row>
    <row r="47" customFormat="false" ht="15" hidden="false" customHeight="false" outlineLevel="0" collapsed="false">
      <c r="A47" s="7" t="s">
        <v>101</v>
      </c>
      <c r="B47" s="7" t="s">
        <v>3</v>
      </c>
      <c r="C47" s="7" t="s">
        <v>166</v>
      </c>
      <c r="D47" s="7" t="n">
        <v>7</v>
      </c>
      <c r="E47" s="7" t="s">
        <v>289</v>
      </c>
      <c r="F47" s="7" t="s">
        <v>290</v>
      </c>
      <c r="G47" s="7" t="s">
        <v>291</v>
      </c>
      <c r="H47" s="7" t="s">
        <v>143</v>
      </c>
      <c r="I47" s="7" t="str">
        <f aca="false">B47&amp;"|"&amp;A47</f>
        <v>USA|RAD-110-1</v>
      </c>
    </row>
    <row r="48" customFormat="false" ht="15" hidden="false" customHeight="false" outlineLevel="0" collapsed="false">
      <c r="A48" s="7" t="s">
        <v>101</v>
      </c>
      <c r="B48" s="7" t="s">
        <v>144</v>
      </c>
      <c r="C48" s="7" t="s">
        <v>139</v>
      </c>
      <c r="D48" s="7" t="n">
        <v>7</v>
      </c>
      <c r="E48" s="7" t="s">
        <v>292</v>
      </c>
      <c r="F48" s="7" t="s">
        <v>293</v>
      </c>
      <c r="G48" s="7" t="s">
        <v>294</v>
      </c>
      <c r="H48" s="7" t="s">
        <v>295</v>
      </c>
      <c r="I48" s="7" t="str">
        <f aca="false">B48&amp;"|"&amp;A48</f>
        <v>Germany|RAD-110-1</v>
      </c>
    </row>
    <row r="49" customFormat="false" ht="15" hidden="false" customHeight="false" outlineLevel="0" collapsed="false">
      <c r="A49" s="7" t="s">
        <v>101</v>
      </c>
      <c r="B49" s="7" t="s">
        <v>150</v>
      </c>
      <c r="C49" s="7" t="s">
        <v>161</v>
      </c>
      <c r="D49" s="7" t="n">
        <v>8</v>
      </c>
      <c r="E49" s="7" t="s">
        <v>296</v>
      </c>
      <c r="F49" s="7" t="s">
        <v>297</v>
      </c>
      <c r="G49" s="7" t="s">
        <v>298</v>
      </c>
      <c r="H49" s="7" t="s">
        <v>299</v>
      </c>
      <c r="I49" s="7" t="str">
        <f aca="false">B49&amp;"|"&amp;A49</f>
        <v>Brazil|RAD-110-1</v>
      </c>
    </row>
    <row r="50" customFormat="false" ht="15" hidden="false" customHeight="false" outlineLevel="0" collapsed="false">
      <c r="A50" s="7" t="s">
        <v>101</v>
      </c>
      <c r="B50" s="7" t="s">
        <v>155</v>
      </c>
      <c r="C50" s="7" t="s">
        <v>145</v>
      </c>
      <c r="D50" s="7" t="n">
        <v>5</v>
      </c>
      <c r="E50" s="7" t="s">
        <v>300</v>
      </c>
      <c r="F50" s="7" t="s">
        <v>301</v>
      </c>
      <c r="G50" s="7" t="s">
        <v>302</v>
      </c>
      <c r="H50" s="7" t="s">
        <v>303</v>
      </c>
      <c r="I50" s="7" t="str">
        <f aca="false">B50&amp;"|"&amp;A50</f>
        <v>Japan|RAD-110-1</v>
      </c>
    </row>
    <row r="51" customFormat="false" ht="15" hidden="false" customHeight="false" outlineLevel="0" collapsed="false">
      <c r="A51" s="7" t="s">
        <v>101</v>
      </c>
      <c r="B51" s="7" t="s">
        <v>160</v>
      </c>
      <c r="C51" s="7" t="s">
        <v>139</v>
      </c>
      <c r="D51" s="7" t="n">
        <v>5</v>
      </c>
      <c r="E51" s="7" t="s">
        <v>304</v>
      </c>
      <c r="F51" s="7" t="s">
        <v>305</v>
      </c>
      <c r="G51" s="7" t="s">
        <v>306</v>
      </c>
      <c r="H51" s="7" t="s">
        <v>307</v>
      </c>
      <c r="I51" s="7" t="str">
        <f aca="false">B51&amp;"|"&amp;A51</f>
        <v>Australia|RAD-110-1</v>
      </c>
    </row>
    <row r="52" customFormat="false" ht="15" hidden="false" customHeight="false" outlineLevel="0" collapsed="false">
      <c r="A52" s="7" t="s">
        <v>107</v>
      </c>
      <c r="B52" s="7" t="s">
        <v>3</v>
      </c>
      <c r="C52" s="7" t="s">
        <v>161</v>
      </c>
      <c r="D52" s="7" t="n">
        <v>2</v>
      </c>
      <c r="E52" s="7" t="s">
        <v>289</v>
      </c>
      <c r="F52" s="7" t="s">
        <v>308</v>
      </c>
      <c r="G52" s="7" t="s">
        <v>309</v>
      </c>
      <c r="H52" s="7" t="s">
        <v>143</v>
      </c>
      <c r="I52" s="7" t="str">
        <f aca="false">B52&amp;"|"&amp;A52</f>
        <v>USA|RAD-120-2</v>
      </c>
    </row>
    <row r="53" customFormat="false" ht="15" hidden="false" customHeight="false" outlineLevel="0" collapsed="false">
      <c r="A53" s="7" t="s">
        <v>107</v>
      </c>
      <c r="B53" s="7" t="s">
        <v>144</v>
      </c>
      <c r="C53" s="7" t="s">
        <v>161</v>
      </c>
      <c r="D53" s="7" t="n">
        <v>7</v>
      </c>
      <c r="E53" s="7" t="s">
        <v>292</v>
      </c>
      <c r="F53" s="7" t="s">
        <v>310</v>
      </c>
      <c r="G53" s="7" t="s">
        <v>311</v>
      </c>
      <c r="H53" s="7" t="s">
        <v>312</v>
      </c>
      <c r="I53" s="7" t="str">
        <f aca="false">B53&amp;"|"&amp;A53</f>
        <v>Germany|RAD-120-2</v>
      </c>
    </row>
    <row r="54" customFormat="false" ht="15" hidden="false" customHeight="false" outlineLevel="0" collapsed="false">
      <c r="A54" s="7" t="s">
        <v>107</v>
      </c>
      <c r="B54" s="7" t="s">
        <v>150</v>
      </c>
      <c r="C54" s="7" t="s">
        <v>161</v>
      </c>
      <c r="D54" s="7" t="n">
        <v>4</v>
      </c>
      <c r="E54" s="7" t="s">
        <v>296</v>
      </c>
      <c r="F54" s="7" t="s">
        <v>313</v>
      </c>
      <c r="G54" s="7" t="s">
        <v>314</v>
      </c>
      <c r="H54" s="7" t="s">
        <v>168</v>
      </c>
      <c r="I54" s="7" t="str">
        <f aca="false">B54&amp;"|"&amp;A54</f>
        <v>Brazil|RAD-120-2</v>
      </c>
    </row>
    <row r="55" customFormat="false" ht="15" hidden="false" customHeight="false" outlineLevel="0" collapsed="false">
      <c r="A55" s="7" t="s">
        <v>107</v>
      </c>
      <c r="B55" s="7" t="s">
        <v>155</v>
      </c>
      <c r="C55" s="7" t="s">
        <v>139</v>
      </c>
      <c r="D55" s="7" t="n">
        <v>2</v>
      </c>
      <c r="E55" s="7" t="s">
        <v>300</v>
      </c>
      <c r="F55" s="7" t="s">
        <v>315</v>
      </c>
      <c r="G55" s="7" t="s">
        <v>316</v>
      </c>
      <c r="H55" s="7" t="s">
        <v>317</v>
      </c>
      <c r="I55" s="7" t="str">
        <f aca="false">B55&amp;"|"&amp;A55</f>
        <v>Japan|RAD-120-2</v>
      </c>
    </row>
    <row r="56" customFormat="false" ht="15" hidden="false" customHeight="false" outlineLevel="0" collapsed="false">
      <c r="A56" s="7" t="s">
        <v>107</v>
      </c>
      <c r="B56" s="7" t="s">
        <v>160</v>
      </c>
      <c r="C56" s="7" t="s">
        <v>166</v>
      </c>
      <c r="D56" s="7" t="n">
        <v>8</v>
      </c>
      <c r="E56" s="7" t="s">
        <v>304</v>
      </c>
      <c r="F56" s="7" t="s">
        <v>318</v>
      </c>
      <c r="G56" s="7" t="s">
        <v>319</v>
      </c>
      <c r="H56" s="7" t="s">
        <v>320</v>
      </c>
      <c r="I56" s="7" t="str">
        <f aca="false">B56&amp;"|"&amp;A56</f>
        <v>Australia|RAD-120-2</v>
      </c>
    </row>
    <row r="57" customFormat="false" ht="15" hidden="false" customHeight="false" outlineLevel="0" collapsed="false">
      <c r="A57" s="7" t="s">
        <v>112</v>
      </c>
      <c r="B57" s="7" t="s">
        <v>3</v>
      </c>
      <c r="C57" s="7" t="s">
        <v>161</v>
      </c>
      <c r="D57" s="7" t="n">
        <v>8</v>
      </c>
      <c r="E57" s="7" t="s">
        <v>289</v>
      </c>
      <c r="F57" s="7" t="s">
        <v>321</v>
      </c>
      <c r="G57" s="7" t="s">
        <v>322</v>
      </c>
      <c r="H57" s="7" t="s">
        <v>143</v>
      </c>
      <c r="I57" s="7" t="str">
        <f aca="false">B57&amp;"|"&amp;A57</f>
        <v>USA|RAD-130-3</v>
      </c>
    </row>
    <row r="58" customFormat="false" ht="15" hidden="false" customHeight="false" outlineLevel="0" collapsed="false">
      <c r="A58" s="7" t="s">
        <v>112</v>
      </c>
      <c r="B58" s="7" t="s">
        <v>144</v>
      </c>
      <c r="C58" s="7" t="s">
        <v>161</v>
      </c>
      <c r="D58" s="7" t="n">
        <v>4</v>
      </c>
      <c r="E58" s="7" t="s">
        <v>292</v>
      </c>
      <c r="F58" s="7" t="s">
        <v>323</v>
      </c>
      <c r="G58" s="7" t="s">
        <v>324</v>
      </c>
      <c r="H58" s="7" t="s">
        <v>325</v>
      </c>
      <c r="I58" s="7" t="str">
        <f aca="false">B58&amp;"|"&amp;A58</f>
        <v>Germany|RAD-130-3</v>
      </c>
    </row>
    <row r="59" customFormat="false" ht="15" hidden="false" customHeight="false" outlineLevel="0" collapsed="false">
      <c r="A59" s="7" t="s">
        <v>112</v>
      </c>
      <c r="B59" s="7" t="s">
        <v>150</v>
      </c>
      <c r="C59" s="7" t="s">
        <v>166</v>
      </c>
      <c r="D59" s="7" t="n">
        <v>6</v>
      </c>
      <c r="E59" s="7" t="s">
        <v>296</v>
      </c>
      <c r="F59" s="7" t="s">
        <v>326</v>
      </c>
      <c r="G59" s="7" t="s">
        <v>327</v>
      </c>
      <c r="H59" s="7" t="s">
        <v>328</v>
      </c>
      <c r="I59" s="7" t="str">
        <f aca="false">B59&amp;"|"&amp;A59</f>
        <v>Brazil|RAD-130-3</v>
      </c>
    </row>
    <row r="60" customFormat="false" ht="15" hidden="false" customHeight="false" outlineLevel="0" collapsed="false">
      <c r="A60" s="7" t="s">
        <v>112</v>
      </c>
      <c r="B60" s="7" t="s">
        <v>155</v>
      </c>
      <c r="C60" s="7" t="s">
        <v>161</v>
      </c>
      <c r="D60" s="7" t="n">
        <v>3</v>
      </c>
      <c r="E60" s="7" t="s">
        <v>300</v>
      </c>
      <c r="F60" s="7" t="s">
        <v>329</v>
      </c>
      <c r="G60" s="7" t="s">
        <v>330</v>
      </c>
      <c r="H60" s="7" t="s">
        <v>331</v>
      </c>
      <c r="I60" s="7" t="str">
        <f aca="false">B60&amp;"|"&amp;A60</f>
        <v>Japan|RAD-130-3</v>
      </c>
    </row>
    <row r="61" customFormat="false" ht="15" hidden="false" customHeight="false" outlineLevel="0" collapsed="false">
      <c r="A61" s="7" t="s">
        <v>112</v>
      </c>
      <c r="B61" s="7" t="s">
        <v>160</v>
      </c>
      <c r="C61" s="7" t="s">
        <v>161</v>
      </c>
      <c r="D61" s="7" t="n">
        <v>7</v>
      </c>
      <c r="E61" s="7" t="s">
        <v>304</v>
      </c>
      <c r="F61" s="7" t="s">
        <v>332</v>
      </c>
      <c r="G61" s="7" t="s">
        <v>333</v>
      </c>
      <c r="H61" s="7" t="s">
        <v>334</v>
      </c>
      <c r="I61" s="7" t="str">
        <f aca="false">B61&amp;"|"&amp;A61</f>
        <v>Australia|RAD-130-3</v>
      </c>
    </row>
    <row r="62" customFormat="false" ht="15" hidden="false" customHeight="false" outlineLevel="0" collapsed="false">
      <c r="A62" s="7" t="s">
        <v>117</v>
      </c>
      <c r="B62" s="7" t="s">
        <v>3</v>
      </c>
      <c r="C62" s="7" t="s">
        <v>145</v>
      </c>
      <c r="D62" s="7" t="n">
        <v>7</v>
      </c>
      <c r="E62" s="7" t="s">
        <v>335</v>
      </c>
      <c r="F62" s="7" t="s">
        <v>336</v>
      </c>
      <c r="G62" s="7" t="s">
        <v>337</v>
      </c>
      <c r="H62" s="7" t="s">
        <v>143</v>
      </c>
      <c r="I62" s="7" t="str">
        <f aca="false">B62&amp;"|"&amp;A62</f>
        <v>USA|CVD-110-1</v>
      </c>
    </row>
    <row r="63" customFormat="false" ht="15" hidden="false" customHeight="false" outlineLevel="0" collapsed="false">
      <c r="A63" s="7" t="s">
        <v>117</v>
      </c>
      <c r="B63" s="7" t="s">
        <v>144</v>
      </c>
      <c r="C63" s="7" t="s">
        <v>161</v>
      </c>
      <c r="D63" s="7" t="n">
        <v>7</v>
      </c>
      <c r="E63" s="7" t="s">
        <v>338</v>
      </c>
      <c r="F63" s="7" t="s">
        <v>339</v>
      </c>
      <c r="G63" s="7" t="s">
        <v>340</v>
      </c>
      <c r="H63" s="7" t="s">
        <v>341</v>
      </c>
      <c r="I63" s="7" t="str">
        <f aca="false">B63&amp;"|"&amp;A63</f>
        <v>Germany|CVD-110-1</v>
      </c>
    </row>
    <row r="64" customFormat="false" ht="15" hidden="false" customHeight="false" outlineLevel="0" collapsed="false">
      <c r="A64" s="7" t="s">
        <v>117</v>
      </c>
      <c r="B64" s="7" t="s">
        <v>150</v>
      </c>
      <c r="C64" s="7" t="s">
        <v>161</v>
      </c>
      <c r="D64" s="7" t="n">
        <v>4</v>
      </c>
      <c r="E64" s="7" t="s">
        <v>342</v>
      </c>
      <c r="F64" s="7" t="s">
        <v>343</v>
      </c>
      <c r="G64" s="7" t="s">
        <v>344</v>
      </c>
      <c r="H64" s="7" t="s">
        <v>148</v>
      </c>
      <c r="I64" s="7" t="str">
        <f aca="false">B64&amp;"|"&amp;A64</f>
        <v>Brazil|CVD-110-1</v>
      </c>
    </row>
    <row r="65" customFormat="false" ht="15" hidden="false" customHeight="false" outlineLevel="0" collapsed="false">
      <c r="A65" s="7" t="s">
        <v>117</v>
      </c>
      <c r="B65" s="7" t="s">
        <v>155</v>
      </c>
      <c r="C65" s="7" t="s">
        <v>161</v>
      </c>
      <c r="D65" s="7" t="n">
        <v>3</v>
      </c>
      <c r="E65" s="7" t="s">
        <v>345</v>
      </c>
      <c r="F65" s="7" t="s">
        <v>346</v>
      </c>
      <c r="G65" s="7" t="s">
        <v>347</v>
      </c>
      <c r="H65" s="7" t="s">
        <v>348</v>
      </c>
      <c r="I65" s="7" t="str">
        <f aca="false">B65&amp;"|"&amp;A65</f>
        <v>Japan|CVD-110-1</v>
      </c>
    </row>
    <row r="66" customFormat="false" ht="15" hidden="false" customHeight="false" outlineLevel="0" collapsed="false">
      <c r="A66" s="7" t="s">
        <v>117</v>
      </c>
      <c r="B66" s="7" t="s">
        <v>160</v>
      </c>
      <c r="C66" s="7" t="s">
        <v>161</v>
      </c>
      <c r="D66" s="7" t="n">
        <v>1</v>
      </c>
      <c r="E66" s="7" t="s">
        <v>349</v>
      </c>
      <c r="F66" s="7" t="s">
        <v>350</v>
      </c>
      <c r="G66" s="7" t="s">
        <v>351</v>
      </c>
      <c r="H66" s="7" t="s">
        <v>352</v>
      </c>
      <c r="I66" s="7" t="str">
        <f aca="false">B66&amp;"|"&amp;A66</f>
        <v>Australia|CVD-110-1</v>
      </c>
    </row>
    <row r="67" customFormat="false" ht="15" hidden="false" customHeight="false" outlineLevel="0" collapsed="false">
      <c r="A67" s="7" t="s">
        <v>123</v>
      </c>
      <c r="B67" s="7" t="s">
        <v>3</v>
      </c>
      <c r="C67" s="7" t="s">
        <v>145</v>
      </c>
      <c r="D67" s="7" t="n">
        <v>5</v>
      </c>
      <c r="E67" s="7" t="s">
        <v>335</v>
      </c>
      <c r="F67" s="7" t="s">
        <v>353</v>
      </c>
      <c r="G67" s="7" t="s">
        <v>354</v>
      </c>
      <c r="H67" s="7" t="s">
        <v>143</v>
      </c>
      <c r="I67" s="7" t="str">
        <f aca="false">B67&amp;"|"&amp;A67</f>
        <v>USA|CVD-120-2</v>
      </c>
    </row>
    <row r="68" customFormat="false" ht="15" hidden="false" customHeight="false" outlineLevel="0" collapsed="false">
      <c r="A68" s="7" t="s">
        <v>123</v>
      </c>
      <c r="B68" s="7" t="s">
        <v>144</v>
      </c>
      <c r="C68" s="7" t="s">
        <v>166</v>
      </c>
      <c r="D68" s="7" t="n">
        <v>6</v>
      </c>
      <c r="E68" s="7" t="s">
        <v>338</v>
      </c>
      <c r="F68" s="7" t="s">
        <v>355</v>
      </c>
      <c r="G68" s="7" t="s">
        <v>356</v>
      </c>
      <c r="H68" s="7" t="s">
        <v>357</v>
      </c>
      <c r="I68" s="7" t="str">
        <f aca="false">B68&amp;"|"&amp;A68</f>
        <v>Germany|CVD-120-2</v>
      </c>
    </row>
    <row r="69" customFormat="false" ht="15" hidden="false" customHeight="false" outlineLevel="0" collapsed="false">
      <c r="A69" s="7" t="s">
        <v>123</v>
      </c>
      <c r="B69" s="7" t="s">
        <v>150</v>
      </c>
      <c r="C69" s="7" t="s">
        <v>161</v>
      </c>
      <c r="D69" s="7" t="n">
        <v>1</v>
      </c>
      <c r="E69" s="7" t="s">
        <v>342</v>
      </c>
      <c r="F69" s="7" t="s">
        <v>358</v>
      </c>
      <c r="G69" s="7" t="s">
        <v>359</v>
      </c>
      <c r="H69" s="7" t="s">
        <v>360</v>
      </c>
      <c r="I69" s="7" t="str">
        <f aca="false">B69&amp;"|"&amp;A69</f>
        <v>Brazil|CVD-120-2</v>
      </c>
    </row>
    <row r="70" customFormat="false" ht="15" hidden="false" customHeight="false" outlineLevel="0" collapsed="false">
      <c r="A70" s="7" t="s">
        <v>123</v>
      </c>
      <c r="B70" s="7" t="s">
        <v>155</v>
      </c>
      <c r="C70" s="7" t="s">
        <v>145</v>
      </c>
      <c r="D70" s="7" t="n">
        <v>1</v>
      </c>
      <c r="E70" s="7" t="s">
        <v>345</v>
      </c>
      <c r="F70" s="7" t="s">
        <v>361</v>
      </c>
      <c r="G70" s="7" t="s">
        <v>306</v>
      </c>
      <c r="H70" s="7" t="s">
        <v>362</v>
      </c>
      <c r="I70" s="7" t="str">
        <f aca="false">B70&amp;"|"&amp;A70</f>
        <v>Japan|CVD-120-2</v>
      </c>
    </row>
    <row r="71" customFormat="false" ht="15" hidden="false" customHeight="false" outlineLevel="0" collapsed="false">
      <c r="A71" s="7" t="s">
        <v>123</v>
      </c>
      <c r="B71" s="7" t="s">
        <v>160</v>
      </c>
      <c r="C71" s="7" t="s">
        <v>139</v>
      </c>
      <c r="D71" s="7" t="n">
        <v>8</v>
      </c>
      <c r="E71" s="7" t="s">
        <v>349</v>
      </c>
      <c r="F71" s="7" t="s">
        <v>363</v>
      </c>
      <c r="G71" s="7" t="s">
        <v>364</v>
      </c>
      <c r="H71" s="7" t="s">
        <v>365</v>
      </c>
      <c r="I71" s="7" t="str">
        <f aca="false">B71&amp;"|"&amp;A71</f>
        <v>Australia|CVD-120-2</v>
      </c>
    </row>
    <row r="72" customFormat="false" ht="15" hidden="false" customHeight="false" outlineLevel="0" collapsed="false">
      <c r="A72" s="7" t="s">
        <v>128</v>
      </c>
      <c r="B72" s="7" t="s">
        <v>3</v>
      </c>
      <c r="C72" s="7" t="s">
        <v>166</v>
      </c>
      <c r="D72" s="7" t="n">
        <v>3</v>
      </c>
      <c r="E72" s="7" t="s">
        <v>335</v>
      </c>
      <c r="F72" s="7" t="s">
        <v>366</v>
      </c>
      <c r="G72" s="7" t="s">
        <v>367</v>
      </c>
      <c r="H72" s="7" t="s">
        <v>143</v>
      </c>
      <c r="I72" s="7" t="str">
        <f aca="false">B72&amp;"|"&amp;A72</f>
        <v>USA|CVD-130-3</v>
      </c>
    </row>
    <row r="73" customFormat="false" ht="15" hidden="false" customHeight="false" outlineLevel="0" collapsed="false">
      <c r="A73" s="7" t="s">
        <v>128</v>
      </c>
      <c r="B73" s="7" t="s">
        <v>144</v>
      </c>
      <c r="C73" s="7" t="s">
        <v>166</v>
      </c>
      <c r="D73" s="7" t="n">
        <v>2</v>
      </c>
      <c r="E73" s="7" t="s">
        <v>338</v>
      </c>
      <c r="F73" s="7" t="s">
        <v>368</v>
      </c>
      <c r="G73" s="7" t="s">
        <v>369</v>
      </c>
      <c r="H73" s="7" t="s">
        <v>370</v>
      </c>
      <c r="I73" s="7" t="str">
        <f aca="false">B73&amp;"|"&amp;A73</f>
        <v>Germany|CVD-130-3</v>
      </c>
    </row>
    <row r="74" customFormat="false" ht="15" hidden="false" customHeight="false" outlineLevel="0" collapsed="false">
      <c r="A74" s="7" t="s">
        <v>128</v>
      </c>
      <c r="B74" s="7" t="s">
        <v>150</v>
      </c>
      <c r="C74" s="7" t="s">
        <v>161</v>
      </c>
      <c r="D74" s="7" t="n">
        <v>4</v>
      </c>
      <c r="E74" s="7" t="s">
        <v>342</v>
      </c>
      <c r="F74" s="7" t="s">
        <v>371</v>
      </c>
      <c r="G74" s="7" t="s">
        <v>372</v>
      </c>
      <c r="H74" s="7" t="s">
        <v>373</v>
      </c>
      <c r="I74" s="7" t="str">
        <f aca="false">B74&amp;"|"&amp;A74</f>
        <v>Brazil|CVD-130-3</v>
      </c>
    </row>
    <row r="75" customFormat="false" ht="15" hidden="false" customHeight="false" outlineLevel="0" collapsed="false">
      <c r="A75" s="7" t="s">
        <v>128</v>
      </c>
      <c r="B75" s="7" t="s">
        <v>155</v>
      </c>
      <c r="C75" s="7" t="s">
        <v>166</v>
      </c>
      <c r="D75" s="7" t="n">
        <v>2</v>
      </c>
      <c r="E75" s="7" t="s">
        <v>345</v>
      </c>
      <c r="F75" s="7" t="s">
        <v>374</v>
      </c>
      <c r="G75" s="7" t="s">
        <v>375</v>
      </c>
      <c r="H75" s="7" t="s">
        <v>376</v>
      </c>
      <c r="I75" s="7" t="str">
        <f aca="false">B75&amp;"|"&amp;A75</f>
        <v>Japan|CVD-130-3</v>
      </c>
    </row>
    <row r="76" customFormat="false" ht="15" hidden="false" customHeight="false" outlineLevel="0" collapsed="false">
      <c r="A76" s="7" t="s">
        <v>128</v>
      </c>
      <c r="B76" s="7" t="s">
        <v>160</v>
      </c>
      <c r="C76" s="7" t="s">
        <v>161</v>
      </c>
      <c r="D76" s="7" t="n">
        <v>6</v>
      </c>
      <c r="E76" s="7" t="s">
        <v>349</v>
      </c>
      <c r="F76" s="7" t="s">
        <v>377</v>
      </c>
      <c r="G76" s="7" t="s">
        <v>378</v>
      </c>
      <c r="H76" s="7" t="s">
        <v>379</v>
      </c>
      <c r="I76" s="7" t="str">
        <f aca="false">B76&amp;"|"&amp;A76</f>
        <v>Australia|CVD-130-3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6" t="s">
        <v>380</v>
      </c>
      <c r="B1" s="6" t="s">
        <v>7</v>
      </c>
      <c r="C1" s="6" t="s">
        <v>41</v>
      </c>
      <c r="D1" s="6" t="s">
        <v>381</v>
      </c>
      <c r="E1" s="6" t="s">
        <v>382</v>
      </c>
      <c r="F1" s="6" t="s">
        <v>383</v>
      </c>
      <c r="G1" s="6" t="s">
        <v>384</v>
      </c>
      <c r="H1" s="6" t="s">
        <v>385</v>
      </c>
    </row>
    <row r="2" customFormat="false" ht="15" hidden="false" customHeight="false" outlineLevel="0" collapsed="false">
      <c r="A2" s="7" t="s">
        <v>386</v>
      </c>
      <c r="B2" s="7" t="s">
        <v>45</v>
      </c>
      <c r="C2" s="7" t="s">
        <v>5</v>
      </c>
      <c r="D2" s="7" t="s">
        <v>387</v>
      </c>
      <c r="E2" s="7" t="s">
        <v>388</v>
      </c>
      <c r="F2" s="7" t="s">
        <v>389</v>
      </c>
      <c r="G2" s="7" t="s">
        <v>390</v>
      </c>
      <c r="H2" s="7" t="s">
        <v>391</v>
      </c>
    </row>
    <row r="3" customFormat="false" ht="15" hidden="false" customHeight="false" outlineLevel="0" collapsed="false">
      <c r="A3" s="7" t="s">
        <v>392</v>
      </c>
      <c r="B3" s="7" t="s">
        <v>45</v>
      </c>
      <c r="C3" s="7" t="s">
        <v>5</v>
      </c>
      <c r="D3" s="7" t="s">
        <v>393</v>
      </c>
      <c r="E3" s="7" t="s">
        <v>394</v>
      </c>
      <c r="F3" s="7" t="s">
        <v>395</v>
      </c>
      <c r="G3" s="7" t="s">
        <v>396</v>
      </c>
      <c r="H3" s="7" t="s">
        <v>397</v>
      </c>
    </row>
    <row r="4" customFormat="false" ht="15" hidden="false" customHeight="false" outlineLevel="0" collapsed="false">
      <c r="A4" s="7" t="s">
        <v>398</v>
      </c>
      <c r="B4" s="7" t="s">
        <v>53</v>
      </c>
      <c r="C4" s="7" t="s">
        <v>5</v>
      </c>
      <c r="D4" s="7" t="s">
        <v>399</v>
      </c>
      <c r="E4" s="7" t="s">
        <v>400</v>
      </c>
      <c r="F4" s="7" t="s">
        <v>389</v>
      </c>
      <c r="G4" s="7" t="s">
        <v>390</v>
      </c>
      <c r="H4" s="7" t="s">
        <v>401</v>
      </c>
    </row>
    <row r="5" customFormat="false" ht="15" hidden="false" customHeight="false" outlineLevel="0" collapsed="false">
      <c r="A5" s="7" t="s">
        <v>402</v>
      </c>
      <c r="B5" s="7" t="s">
        <v>53</v>
      </c>
      <c r="C5" s="7" t="s">
        <v>5</v>
      </c>
      <c r="D5" s="7" t="s">
        <v>403</v>
      </c>
      <c r="E5" s="7" t="s">
        <v>394</v>
      </c>
      <c r="F5" s="7" t="s">
        <v>389</v>
      </c>
      <c r="G5" s="7" t="s">
        <v>396</v>
      </c>
      <c r="H5" s="7" t="s">
        <v>391</v>
      </c>
    </row>
    <row r="6" customFormat="false" ht="15" hidden="false" customHeight="false" outlineLevel="0" collapsed="false">
      <c r="A6" s="7" t="s">
        <v>404</v>
      </c>
      <c r="B6" s="7" t="s">
        <v>53</v>
      </c>
      <c r="C6" s="7" t="s">
        <v>5</v>
      </c>
      <c r="D6" s="7" t="s">
        <v>405</v>
      </c>
      <c r="E6" s="7" t="s">
        <v>406</v>
      </c>
      <c r="F6" s="7" t="s">
        <v>407</v>
      </c>
      <c r="G6" s="7" t="s">
        <v>408</v>
      </c>
      <c r="H6" s="7" t="s">
        <v>401</v>
      </c>
    </row>
    <row r="7" customFormat="false" ht="15" hidden="false" customHeight="false" outlineLevel="0" collapsed="false">
      <c r="A7" s="7" t="s">
        <v>409</v>
      </c>
      <c r="B7" s="7" t="s">
        <v>53</v>
      </c>
      <c r="C7" s="7" t="s">
        <v>5</v>
      </c>
      <c r="D7" s="7" t="s">
        <v>410</v>
      </c>
      <c r="E7" s="7" t="s">
        <v>406</v>
      </c>
      <c r="F7" s="7" t="s">
        <v>389</v>
      </c>
      <c r="G7" s="7" t="s">
        <v>396</v>
      </c>
      <c r="H7" s="7" t="s">
        <v>397</v>
      </c>
    </row>
    <row r="8" customFormat="false" ht="15" hidden="false" customHeight="false" outlineLevel="0" collapsed="false">
      <c r="A8" s="7" t="s">
        <v>411</v>
      </c>
      <c r="B8" s="7" t="s">
        <v>53</v>
      </c>
      <c r="C8" s="7" t="s">
        <v>5</v>
      </c>
      <c r="D8" s="7" t="s">
        <v>412</v>
      </c>
      <c r="E8" s="7" t="s">
        <v>394</v>
      </c>
      <c r="F8" s="7" t="s">
        <v>407</v>
      </c>
      <c r="G8" s="7" t="s">
        <v>413</v>
      </c>
      <c r="H8" s="7" t="s">
        <v>391</v>
      </c>
    </row>
    <row r="9" customFormat="false" ht="15" hidden="false" customHeight="false" outlineLevel="0" collapsed="false">
      <c r="A9" s="7" t="s">
        <v>414</v>
      </c>
      <c r="B9" s="7" t="s">
        <v>61</v>
      </c>
      <c r="C9" s="7" t="s">
        <v>5</v>
      </c>
      <c r="D9" s="7" t="s">
        <v>415</v>
      </c>
      <c r="E9" s="7" t="s">
        <v>416</v>
      </c>
      <c r="F9" s="7" t="s">
        <v>389</v>
      </c>
      <c r="G9" s="7" t="s">
        <v>408</v>
      </c>
      <c r="H9" s="7" t="s">
        <v>391</v>
      </c>
    </row>
    <row r="10" customFormat="false" ht="15" hidden="false" customHeight="false" outlineLevel="0" collapsed="false">
      <c r="A10" s="7" t="s">
        <v>417</v>
      </c>
      <c r="B10" s="7" t="s">
        <v>61</v>
      </c>
      <c r="C10" s="7" t="s">
        <v>5</v>
      </c>
      <c r="D10" s="7" t="s">
        <v>418</v>
      </c>
      <c r="E10" s="7" t="s">
        <v>394</v>
      </c>
      <c r="F10" s="7" t="s">
        <v>389</v>
      </c>
      <c r="G10" s="7" t="s">
        <v>413</v>
      </c>
      <c r="H10" s="7" t="s">
        <v>397</v>
      </c>
    </row>
    <row r="11" customFormat="false" ht="15" hidden="false" customHeight="false" outlineLevel="0" collapsed="false">
      <c r="A11" s="7" t="s">
        <v>419</v>
      </c>
      <c r="B11" s="7" t="s">
        <v>61</v>
      </c>
      <c r="C11" s="7" t="s">
        <v>5</v>
      </c>
      <c r="D11" s="7" t="s">
        <v>420</v>
      </c>
      <c r="E11" s="7" t="s">
        <v>421</v>
      </c>
      <c r="F11" s="7" t="s">
        <v>395</v>
      </c>
      <c r="G11" s="7" t="s">
        <v>396</v>
      </c>
      <c r="H11" s="7" t="s">
        <v>397</v>
      </c>
    </row>
    <row r="12" customFormat="false" ht="15" hidden="false" customHeight="false" outlineLevel="0" collapsed="false">
      <c r="A12" s="7" t="s">
        <v>422</v>
      </c>
      <c r="B12" s="7" t="s">
        <v>61</v>
      </c>
      <c r="C12" s="7" t="s">
        <v>5</v>
      </c>
      <c r="D12" s="7" t="s">
        <v>423</v>
      </c>
      <c r="E12" s="7" t="s">
        <v>406</v>
      </c>
      <c r="F12" s="7" t="s">
        <v>389</v>
      </c>
      <c r="G12" s="7" t="s">
        <v>408</v>
      </c>
      <c r="H12" s="7" t="s">
        <v>397</v>
      </c>
    </row>
    <row r="13" customFormat="false" ht="15" hidden="false" customHeight="false" outlineLevel="0" collapsed="false">
      <c r="A13" s="7" t="s">
        <v>424</v>
      </c>
      <c r="B13" s="7" t="s">
        <v>61</v>
      </c>
      <c r="C13" s="7" t="s">
        <v>5</v>
      </c>
      <c r="D13" s="7" t="s">
        <v>425</v>
      </c>
      <c r="E13" s="7" t="s">
        <v>388</v>
      </c>
      <c r="F13" s="7" t="s">
        <v>395</v>
      </c>
      <c r="G13" s="7" t="s">
        <v>413</v>
      </c>
      <c r="H13" s="7" t="s">
        <v>397</v>
      </c>
    </row>
    <row r="14" customFormat="false" ht="15" hidden="false" customHeight="false" outlineLevel="0" collapsed="false">
      <c r="A14" s="7" t="s">
        <v>426</v>
      </c>
      <c r="B14" s="7" t="s">
        <v>67</v>
      </c>
      <c r="C14" s="7" t="s">
        <v>72</v>
      </c>
      <c r="D14" s="7" t="s">
        <v>427</v>
      </c>
      <c r="E14" s="7" t="s">
        <v>394</v>
      </c>
      <c r="F14" s="7" t="s">
        <v>407</v>
      </c>
      <c r="G14" s="7" t="s">
        <v>413</v>
      </c>
      <c r="H14" s="7" t="s">
        <v>391</v>
      </c>
    </row>
    <row r="15" customFormat="false" ht="15" hidden="false" customHeight="false" outlineLevel="0" collapsed="false">
      <c r="A15" s="7" t="s">
        <v>428</v>
      </c>
      <c r="B15" s="7" t="s">
        <v>67</v>
      </c>
      <c r="C15" s="7" t="s">
        <v>72</v>
      </c>
      <c r="D15" s="7" t="s">
        <v>429</v>
      </c>
      <c r="E15" s="7" t="s">
        <v>400</v>
      </c>
      <c r="F15" s="7" t="s">
        <v>395</v>
      </c>
      <c r="G15" s="7" t="s">
        <v>390</v>
      </c>
      <c r="H15" s="7" t="s">
        <v>430</v>
      </c>
    </row>
    <row r="16" customFormat="false" ht="15" hidden="false" customHeight="false" outlineLevel="0" collapsed="false">
      <c r="A16" s="7" t="s">
        <v>431</v>
      </c>
      <c r="B16" s="7" t="s">
        <v>74</v>
      </c>
      <c r="C16" s="7" t="s">
        <v>72</v>
      </c>
      <c r="D16" s="7" t="s">
        <v>432</v>
      </c>
      <c r="E16" s="7" t="s">
        <v>394</v>
      </c>
      <c r="F16" s="7" t="s">
        <v>389</v>
      </c>
      <c r="G16" s="7" t="s">
        <v>433</v>
      </c>
      <c r="H16" s="7" t="s">
        <v>401</v>
      </c>
    </row>
    <row r="17" customFormat="false" ht="15" hidden="false" customHeight="false" outlineLevel="0" collapsed="false">
      <c r="A17" s="7" t="s">
        <v>434</v>
      </c>
      <c r="B17" s="7" t="s">
        <v>74</v>
      </c>
      <c r="C17" s="7" t="s">
        <v>72</v>
      </c>
      <c r="D17" s="7" t="s">
        <v>435</v>
      </c>
      <c r="E17" s="7" t="s">
        <v>400</v>
      </c>
      <c r="F17" s="7" t="s">
        <v>389</v>
      </c>
      <c r="G17" s="7" t="s">
        <v>413</v>
      </c>
      <c r="H17" s="7" t="s">
        <v>391</v>
      </c>
    </row>
    <row r="18" customFormat="false" ht="15" hidden="false" customHeight="false" outlineLevel="0" collapsed="false">
      <c r="A18" s="7" t="s">
        <v>436</v>
      </c>
      <c r="B18" s="7" t="s">
        <v>74</v>
      </c>
      <c r="C18" s="7" t="s">
        <v>72</v>
      </c>
      <c r="D18" s="7" t="s">
        <v>437</v>
      </c>
      <c r="E18" s="7" t="s">
        <v>400</v>
      </c>
      <c r="F18" s="7" t="s">
        <v>389</v>
      </c>
      <c r="G18" s="7" t="s">
        <v>408</v>
      </c>
      <c r="H18" s="7" t="s">
        <v>391</v>
      </c>
    </row>
    <row r="19" customFormat="false" ht="15" hidden="false" customHeight="false" outlineLevel="0" collapsed="false">
      <c r="A19" s="7" t="s">
        <v>438</v>
      </c>
      <c r="B19" s="7" t="s">
        <v>79</v>
      </c>
      <c r="C19" s="7" t="s">
        <v>72</v>
      </c>
      <c r="D19" s="7" t="s">
        <v>439</v>
      </c>
      <c r="E19" s="7" t="s">
        <v>406</v>
      </c>
      <c r="F19" s="7" t="s">
        <v>389</v>
      </c>
      <c r="G19" s="7" t="s">
        <v>433</v>
      </c>
      <c r="H19" s="7" t="s">
        <v>430</v>
      </c>
    </row>
    <row r="20" customFormat="false" ht="15" hidden="false" customHeight="false" outlineLevel="0" collapsed="false">
      <c r="A20" s="7" t="s">
        <v>440</v>
      </c>
      <c r="B20" s="7" t="s">
        <v>79</v>
      </c>
      <c r="C20" s="7" t="s">
        <v>72</v>
      </c>
      <c r="D20" s="7" t="s">
        <v>441</v>
      </c>
      <c r="E20" s="7" t="s">
        <v>400</v>
      </c>
      <c r="F20" s="7" t="s">
        <v>395</v>
      </c>
      <c r="G20" s="7" t="s">
        <v>433</v>
      </c>
      <c r="H20" s="7" t="s">
        <v>401</v>
      </c>
    </row>
    <row r="21" customFormat="false" ht="15" hidden="false" customHeight="false" outlineLevel="0" collapsed="false">
      <c r="A21" s="7" t="s">
        <v>442</v>
      </c>
      <c r="B21" s="7" t="s">
        <v>79</v>
      </c>
      <c r="C21" s="7" t="s">
        <v>72</v>
      </c>
      <c r="D21" s="7" t="s">
        <v>443</v>
      </c>
      <c r="E21" s="7" t="s">
        <v>406</v>
      </c>
      <c r="F21" s="7" t="s">
        <v>407</v>
      </c>
      <c r="G21" s="7" t="s">
        <v>413</v>
      </c>
      <c r="H21" s="7" t="s">
        <v>430</v>
      </c>
    </row>
    <row r="22" customFormat="false" ht="15" hidden="false" customHeight="false" outlineLevel="0" collapsed="false">
      <c r="A22" s="7" t="s">
        <v>444</v>
      </c>
      <c r="B22" s="7" t="s">
        <v>79</v>
      </c>
      <c r="C22" s="7" t="s">
        <v>72</v>
      </c>
      <c r="D22" s="7" t="s">
        <v>445</v>
      </c>
      <c r="E22" s="7" t="s">
        <v>400</v>
      </c>
      <c r="F22" s="7" t="s">
        <v>395</v>
      </c>
      <c r="G22" s="7" t="s">
        <v>396</v>
      </c>
      <c r="H22" s="7" t="s">
        <v>401</v>
      </c>
    </row>
    <row r="23" customFormat="false" ht="15" hidden="false" customHeight="false" outlineLevel="0" collapsed="false">
      <c r="A23" s="7" t="s">
        <v>446</v>
      </c>
      <c r="B23" s="7" t="s">
        <v>79</v>
      </c>
      <c r="C23" s="7" t="s">
        <v>72</v>
      </c>
      <c r="D23" s="7" t="s">
        <v>447</v>
      </c>
      <c r="E23" s="7" t="s">
        <v>421</v>
      </c>
      <c r="F23" s="7" t="s">
        <v>389</v>
      </c>
      <c r="G23" s="7" t="s">
        <v>396</v>
      </c>
      <c r="H23" s="7" t="s">
        <v>391</v>
      </c>
    </row>
    <row r="24" customFormat="false" ht="15" hidden="false" customHeight="false" outlineLevel="0" collapsed="false">
      <c r="A24" s="7" t="s">
        <v>448</v>
      </c>
      <c r="B24" s="7" t="s">
        <v>84</v>
      </c>
      <c r="C24" s="7" t="s">
        <v>89</v>
      </c>
      <c r="D24" s="7" t="s">
        <v>449</v>
      </c>
      <c r="E24" s="7" t="s">
        <v>400</v>
      </c>
      <c r="F24" s="7" t="s">
        <v>395</v>
      </c>
      <c r="G24" s="7" t="s">
        <v>433</v>
      </c>
      <c r="H24" s="7" t="s">
        <v>401</v>
      </c>
    </row>
    <row r="25" customFormat="false" ht="15" hidden="false" customHeight="false" outlineLevel="0" collapsed="false">
      <c r="A25" s="7" t="s">
        <v>450</v>
      </c>
      <c r="B25" s="7" t="s">
        <v>84</v>
      </c>
      <c r="C25" s="7" t="s">
        <v>89</v>
      </c>
      <c r="D25" s="7" t="s">
        <v>451</v>
      </c>
      <c r="E25" s="7" t="s">
        <v>416</v>
      </c>
      <c r="F25" s="7" t="s">
        <v>407</v>
      </c>
      <c r="G25" s="7" t="s">
        <v>413</v>
      </c>
      <c r="H25" s="7" t="s">
        <v>401</v>
      </c>
    </row>
    <row r="26" customFormat="false" ht="15" hidden="false" customHeight="false" outlineLevel="0" collapsed="false">
      <c r="A26" s="7" t="s">
        <v>452</v>
      </c>
      <c r="B26" s="7" t="s">
        <v>84</v>
      </c>
      <c r="C26" s="7" t="s">
        <v>89</v>
      </c>
      <c r="D26" s="7" t="s">
        <v>453</v>
      </c>
      <c r="E26" s="7" t="s">
        <v>394</v>
      </c>
      <c r="F26" s="7" t="s">
        <v>407</v>
      </c>
      <c r="G26" s="7" t="s">
        <v>408</v>
      </c>
      <c r="H26" s="7" t="s">
        <v>391</v>
      </c>
    </row>
    <row r="27" customFormat="false" ht="15" hidden="false" customHeight="false" outlineLevel="0" collapsed="false">
      <c r="A27" s="7" t="s">
        <v>454</v>
      </c>
      <c r="B27" s="7" t="s">
        <v>84</v>
      </c>
      <c r="C27" s="7" t="s">
        <v>89</v>
      </c>
      <c r="D27" s="7" t="s">
        <v>455</v>
      </c>
      <c r="E27" s="7" t="s">
        <v>406</v>
      </c>
      <c r="F27" s="7" t="s">
        <v>407</v>
      </c>
      <c r="G27" s="7" t="s">
        <v>413</v>
      </c>
      <c r="H27" s="7" t="s">
        <v>397</v>
      </c>
    </row>
    <row r="28" customFormat="false" ht="15" hidden="false" customHeight="false" outlineLevel="0" collapsed="false">
      <c r="A28" s="7" t="s">
        <v>456</v>
      </c>
      <c r="B28" s="7" t="s">
        <v>90</v>
      </c>
      <c r="C28" s="7" t="s">
        <v>89</v>
      </c>
      <c r="D28" s="7" t="s">
        <v>457</v>
      </c>
      <c r="E28" s="7" t="s">
        <v>388</v>
      </c>
      <c r="F28" s="7" t="s">
        <v>395</v>
      </c>
      <c r="G28" s="7" t="s">
        <v>413</v>
      </c>
      <c r="H28" s="7" t="s">
        <v>397</v>
      </c>
    </row>
    <row r="29" customFormat="false" ht="15" hidden="false" customHeight="false" outlineLevel="0" collapsed="false">
      <c r="A29" s="7" t="s">
        <v>458</v>
      </c>
      <c r="B29" s="7" t="s">
        <v>90</v>
      </c>
      <c r="C29" s="7" t="s">
        <v>89</v>
      </c>
      <c r="D29" s="7" t="s">
        <v>459</v>
      </c>
      <c r="E29" s="7" t="s">
        <v>394</v>
      </c>
      <c r="F29" s="7" t="s">
        <v>389</v>
      </c>
      <c r="G29" s="7" t="s">
        <v>433</v>
      </c>
      <c r="H29" s="7" t="s">
        <v>401</v>
      </c>
    </row>
    <row r="30" customFormat="false" ht="15" hidden="false" customHeight="false" outlineLevel="0" collapsed="false">
      <c r="A30" s="7" t="s">
        <v>460</v>
      </c>
      <c r="B30" s="7" t="s">
        <v>90</v>
      </c>
      <c r="C30" s="7" t="s">
        <v>89</v>
      </c>
      <c r="D30" s="7" t="s">
        <v>461</v>
      </c>
      <c r="E30" s="7" t="s">
        <v>394</v>
      </c>
      <c r="F30" s="7" t="s">
        <v>407</v>
      </c>
      <c r="G30" s="7" t="s">
        <v>433</v>
      </c>
      <c r="H30" s="7" t="s">
        <v>401</v>
      </c>
    </row>
    <row r="31" customFormat="false" ht="15" hidden="false" customHeight="false" outlineLevel="0" collapsed="false">
      <c r="A31" s="7" t="s">
        <v>462</v>
      </c>
      <c r="B31" s="7" t="s">
        <v>90</v>
      </c>
      <c r="C31" s="7" t="s">
        <v>89</v>
      </c>
      <c r="D31" s="7" t="s">
        <v>463</v>
      </c>
      <c r="E31" s="7" t="s">
        <v>400</v>
      </c>
      <c r="F31" s="7" t="s">
        <v>389</v>
      </c>
      <c r="G31" s="7" t="s">
        <v>408</v>
      </c>
      <c r="H31" s="7" t="s">
        <v>430</v>
      </c>
    </row>
    <row r="32" customFormat="false" ht="15" hidden="false" customHeight="false" outlineLevel="0" collapsed="false">
      <c r="A32" s="7" t="s">
        <v>464</v>
      </c>
      <c r="B32" s="7" t="s">
        <v>95</v>
      </c>
      <c r="C32" s="7" t="s">
        <v>89</v>
      </c>
      <c r="D32" s="7" t="s">
        <v>465</v>
      </c>
      <c r="E32" s="7" t="s">
        <v>421</v>
      </c>
      <c r="F32" s="7" t="s">
        <v>389</v>
      </c>
      <c r="G32" s="7" t="s">
        <v>396</v>
      </c>
      <c r="H32" s="7" t="s">
        <v>391</v>
      </c>
    </row>
    <row r="33" customFormat="false" ht="15" hidden="false" customHeight="false" outlineLevel="0" collapsed="false">
      <c r="A33" s="7" t="s">
        <v>466</v>
      </c>
      <c r="B33" s="7" t="s">
        <v>95</v>
      </c>
      <c r="C33" s="7" t="s">
        <v>89</v>
      </c>
      <c r="D33" s="7" t="s">
        <v>467</v>
      </c>
      <c r="E33" s="7" t="s">
        <v>388</v>
      </c>
      <c r="F33" s="7" t="s">
        <v>389</v>
      </c>
      <c r="G33" s="7" t="s">
        <v>390</v>
      </c>
      <c r="H33" s="7" t="s">
        <v>397</v>
      </c>
    </row>
    <row r="34" customFormat="false" ht="15" hidden="false" customHeight="false" outlineLevel="0" collapsed="false">
      <c r="A34" s="7" t="s">
        <v>468</v>
      </c>
      <c r="B34" s="7" t="s">
        <v>95</v>
      </c>
      <c r="C34" s="7" t="s">
        <v>89</v>
      </c>
      <c r="D34" s="7" t="s">
        <v>469</v>
      </c>
      <c r="E34" s="7" t="s">
        <v>416</v>
      </c>
      <c r="F34" s="7" t="s">
        <v>395</v>
      </c>
      <c r="G34" s="7" t="s">
        <v>396</v>
      </c>
      <c r="H34" s="7" t="s">
        <v>430</v>
      </c>
    </row>
    <row r="35" customFormat="false" ht="15" hidden="false" customHeight="false" outlineLevel="0" collapsed="false">
      <c r="A35" s="7" t="s">
        <v>470</v>
      </c>
      <c r="B35" s="7" t="s">
        <v>95</v>
      </c>
      <c r="C35" s="7" t="s">
        <v>89</v>
      </c>
      <c r="D35" s="7" t="s">
        <v>471</v>
      </c>
      <c r="E35" s="7" t="s">
        <v>400</v>
      </c>
      <c r="F35" s="7" t="s">
        <v>407</v>
      </c>
      <c r="G35" s="7" t="s">
        <v>413</v>
      </c>
      <c r="H35" s="7" t="s">
        <v>391</v>
      </c>
    </row>
    <row r="36" customFormat="false" ht="15" hidden="false" customHeight="false" outlineLevel="0" collapsed="false">
      <c r="A36" s="7" t="s">
        <v>472</v>
      </c>
      <c r="B36" s="7" t="s">
        <v>95</v>
      </c>
      <c r="C36" s="7" t="s">
        <v>89</v>
      </c>
      <c r="D36" s="7" t="s">
        <v>473</v>
      </c>
      <c r="E36" s="7" t="s">
        <v>406</v>
      </c>
      <c r="F36" s="7" t="s">
        <v>407</v>
      </c>
      <c r="G36" s="7" t="s">
        <v>396</v>
      </c>
      <c r="H36" s="7" t="s">
        <v>391</v>
      </c>
    </row>
    <row r="37" customFormat="false" ht="15" hidden="false" customHeight="false" outlineLevel="0" collapsed="false">
      <c r="A37" s="7" t="s">
        <v>474</v>
      </c>
      <c r="B37" s="7" t="s">
        <v>101</v>
      </c>
      <c r="C37" s="7" t="s">
        <v>106</v>
      </c>
      <c r="D37" s="7" t="s">
        <v>475</v>
      </c>
      <c r="E37" s="7" t="s">
        <v>421</v>
      </c>
      <c r="F37" s="7" t="s">
        <v>389</v>
      </c>
      <c r="G37" s="7" t="s">
        <v>390</v>
      </c>
      <c r="H37" s="7" t="s">
        <v>430</v>
      </c>
    </row>
    <row r="38" customFormat="false" ht="15" hidden="false" customHeight="false" outlineLevel="0" collapsed="false">
      <c r="A38" s="7" t="s">
        <v>476</v>
      </c>
      <c r="B38" s="7" t="s">
        <v>101</v>
      </c>
      <c r="C38" s="7" t="s">
        <v>106</v>
      </c>
      <c r="D38" s="7" t="s">
        <v>477</v>
      </c>
      <c r="E38" s="7" t="s">
        <v>416</v>
      </c>
      <c r="F38" s="7" t="s">
        <v>389</v>
      </c>
      <c r="G38" s="7" t="s">
        <v>390</v>
      </c>
      <c r="H38" s="7" t="s">
        <v>391</v>
      </c>
    </row>
    <row r="39" customFormat="false" ht="15" hidden="false" customHeight="false" outlineLevel="0" collapsed="false">
      <c r="A39" s="7" t="s">
        <v>478</v>
      </c>
      <c r="B39" s="7" t="s">
        <v>101</v>
      </c>
      <c r="C39" s="7" t="s">
        <v>106</v>
      </c>
      <c r="D39" s="7" t="s">
        <v>479</v>
      </c>
      <c r="E39" s="7" t="s">
        <v>388</v>
      </c>
      <c r="F39" s="7" t="s">
        <v>389</v>
      </c>
      <c r="G39" s="7" t="s">
        <v>390</v>
      </c>
      <c r="H39" s="7" t="s">
        <v>397</v>
      </c>
    </row>
    <row r="40" customFormat="false" ht="15" hidden="false" customHeight="false" outlineLevel="0" collapsed="false">
      <c r="A40" s="7" t="s">
        <v>480</v>
      </c>
      <c r="B40" s="7" t="s">
        <v>101</v>
      </c>
      <c r="C40" s="7" t="s">
        <v>106</v>
      </c>
      <c r="D40" s="7" t="s">
        <v>356</v>
      </c>
      <c r="E40" s="7" t="s">
        <v>400</v>
      </c>
      <c r="F40" s="7" t="s">
        <v>407</v>
      </c>
      <c r="G40" s="7" t="s">
        <v>396</v>
      </c>
      <c r="H40" s="7" t="s">
        <v>391</v>
      </c>
    </row>
    <row r="41" customFormat="false" ht="15" hidden="false" customHeight="false" outlineLevel="0" collapsed="false">
      <c r="A41" s="7" t="s">
        <v>481</v>
      </c>
      <c r="B41" s="7" t="s">
        <v>101</v>
      </c>
      <c r="C41" s="7" t="s">
        <v>106</v>
      </c>
      <c r="D41" s="7" t="s">
        <v>482</v>
      </c>
      <c r="E41" s="7" t="s">
        <v>400</v>
      </c>
      <c r="F41" s="7" t="s">
        <v>389</v>
      </c>
      <c r="G41" s="7" t="s">
        <v>396</v>
      </c>
      <c r="H41" s="7" t="s">
        <v>391</v>
      </c>
    </row>
    <row r="42" customFormat="false" ht="15" hidden="false" customHeight="false" outlineLevel="0" collapsed="false">
      <c r="A42" s="7" t="s">
        <v>483</v>
      </c>
      <c r="B42" s="7" t="s">
        <v>107</v>
      </c>
      <c r="C42" s="7" t="s">
        <v>106</v>
      </c>
      <c r="D42" s="7" t="s">
        <v>484</v>
      </c>
      <c r="E42" s="7" t="s">
        <v>400</v>
      </c>
      <c r="F42" s="7" t="s">
        <v>407</v>
      </c>
      <c r="G42" s="7" t="s">
        <v>390</v>
      </c>
      <c r="H42" s="7" t="s">
        <v>391</v>
      </c>
    </row>
    <row r="43" customFormat="false" ht="15" hidden="false" customHeight="false" outlineLevel="0" collapsed="false">
      <c r="A43" s="7" t="s">
        <v>485</v>
      </c>
      <c r="B43" s="7" t="s">
        <v>107</v>
      </c>
      <c r="C43" s="7" t="s">
        <v>106</v>
      </c>
      <c r="D43" s="7" t="s">
        <v>486</v>
      </c>
      <c r="E43" s="7" t="s">
        <v>388</v>
      </c>
      <c r="F43" s="7" t="s">
        <v>395</v>
      </c>
      <c r="G43" s="7" t="s">
        <v>396</v>
      </c>
      <c r="H43" s="7" t="s">
        <v>401</v>
      </c>
    </row>
    <row r="44" customFormat="false" ht="15" hidden="false" customHeight="false" outlineLevel="0" collapsed="false">
      <c r="A44" s="7" t="s">
        <v>487</v>
      </c>
      <c r="B44" s="7" t="s">
        <v>107</v>
      </c>
      <c r="C44" s="7" t="s">
        <v>106</v>
      </c>
      <c r="D44" s="7" t="s">
        <v>488</v>
      </c>
      <c r="E44" s="7" t="s">
        <v>400</v>
      </c>
      <c r="F44" s="7" t="s">
        <v>407</v>
      </c>
      <c r="G44" s="7" t="s">
        <v>396</v>
      </c>
      <c r="H44" s="7" t="s">
        <v>391</v>
      </c>
    </row>
    <row r="45" customFormat="false" ht="15" hidden="false" customHeight="false" outlineLevel="0" collapsed="false">
      <c r="A45" s="7" t="s">
        <v>489</v>
      </c>
      <c r="B45" s="7" t="s">
        <v>107</v>
      </c>
      <c r="C45" s="7" t="s">
        <v>106</v>
      </c>
      <c r="D45" s="7" t="s">
        <v>490</v>
      </c>
      <c r="E45" s="7" t="s">
        <v>421</v>
      </c>
      <c r="F45" s="7" t="s">
        <v>407</v>
      </c>
      <c r="G45" s="7" t="s">
        <v>413</v>
      </c>
      <c r="H45" s="7" t="s">
        <v>391</v>
      </c>
    </row>
    <row r="46" customFormat="false" ht="15" hidden="false" customHeight="false" outlineLevel="0" collapsed="false">
      <c r="A46" s="7" t="s">
        <v>491</v>
      </c>
      <c r="B46" s="7" t="s">
        <v>107</v>
      </c>
      <c r="C46" s="7" t="s">
        <v>106</v>
      </c>
      <c r="D46" s="7" t="s">
        <v>492</v>
      </c>
      <c r="E46" s="7" t="s">
        <v>416</v>
      </c>
      <c r="F46" s="7" t="s">
        <v>389</v>
      </c>
      <c r="G46" s="7" t="s">
        <v>408</v>
      </c>
      <c r="H46" s="7" t="s">
        <v>391</v>
      </c>
    </row>
    <row r="47" customFormat="false" ht="15" hidden="false" customHeight="false" outlineLevel="0" collapsed="false">
      <c r="A47" s="7" t="s">
        <v>493</v>
      </c>
      <c r="B47" s="7" t="s">
        <v>112</v>
      </c>
      <c r="C47" s="7" t="s">
        <v>106</v>
      </c>
      <c r="D47" s="7" t="s">
        <v>494</v>
      </c>
      <c r="E47" s="7" t="s">
        <v>394</v>
      </c>
      <c r="F47" s="7" t="s">
        <v>389</v>
      </c>
      <c r="G47" s="7" t="s">
        <v>413</v>
      </c>
      <c r="H47" s="7" t="s">
        <v>401</v>
      </c>
    </row>
    <row r="48" customFormat="false" ht="15" hidden="false" customHeight="false" outlineLevel="0" collapsed="false">
      <c r="A48" s="7" t="s">
        <v>495</v>
      </c>
      <c r="B48" s="7" t="s">
        <v>112</v>
      </c>
      <c r="C48" s="7" t="s">
        <v>106</v>
      </c>
      <c r="D48" s="7" t="s">
        <v>496</v>
      </c>
      <c r="E48" s="7" t="s">
        <v>406</v>
      </c>
      <c r="F48" s="7" t="s">
        <v>395</v>
      </c>
      <c r="G48" s="7" t="s">
        <v>390</v>
      </c>
      <c r="H48" s="7" t="s">
        <v>430</v>
      </c>
    </row>
    <row r="49" customFormat="false" ht="15" hidden="false" customHeight="false" outlineLevel="0" collapsed="false">
      <c r="A49" s="7" t="s">
        <v>497</v>
      </c>
      <c r="B49" s="7" t="s">
        <v>112</v>
      </c>
      <c r="C49" s="7" t="s">
        <v>106</v>
      </c>
      <c r="D49" s="7" t="s">
        <v>498</v>
      </c>
      <c r="E49" s="7" t="s">
        <v>400</v>
      </c>
      <c r="F49" s="7" t="s">
        <v>395</v>
      </c>
      <c r="G49" s="7" t="s">
        <v>408</v>
      </c>
      <c r="H49" s="7" t="s">
        <v>401</v>
      </c>
    </row>
    <row r="50" customFormat="false" ht="15" hidden="false" customHeight="false" outlineLevel="0" collapsed="false">
      <c r="A50" s="7" t="s">
        <v>499</v>
      </c>
      <c r="B50" s="7" t="s">
        <v>112</v>
      </c>
      <c r="C50" s="7" t="s">
        <v>106</v>
      </c>
      <c r="D50" s="7" t="s">
        <v>500</v>
      </c>
      <c r="E50" s="7" t="s">
        <v>406</v>
      </c>
      <c r="F50" s="7" t="s">
        <v>389</v>
      </c>
      <c r="G50" s="7" t="s">
        <v>396</v>
      </c>
      <c r="H50" s="7" t="s">
        <v>391</v>
      </c>
    </row>
    <row r="51" customFormat="false" ht="15" hidden="false" customHeight="false" outlineLevel="0" collapsed="false">
      <c r="A51" s="7" t="s">
        <v>501</v>
      </c>
      <c r="B51" s="7" t="s">
        <v>112</v>
      </c>
      <c r="C51" s="7" t="s">
        <v>106</v>
      </c>
      <c r="D51" s="7" t="s">
        <v>221</v>
      </c>
      <c r="E51" s="7" t="s">
        <v>416</v>
      </c>
      <c r="F51" s="7" t="s">
        <v>407</v>
      </c>
      <c r="G51" s="7" t="s">
        <v>396</v>
      </c>
      <c r="H51" s="7" t="s">
        <v>391</v>
      </c>
    </row>
    <row r="52" customFormat="false" ht="15" hidden="false" customHeight="false" outlineLevel="0" collapsed="false">
      <c r="A52" s="7" t="s">
        <v>502</v>
      </c>
      <c r="B52" s="7" t="s">
        <v>117</v>
      </c>
      <c r="C52" s="7" t="s">
        <v>122</v>
      </c>
      <c r="D52" s="7" t="s">
        <v>503</v>
      </c>
      <c r="E52" s="7" t="s">
        <v>416</v>
      </c>
      <c r="F52" s="7" t="s">
        <v>389</v>
      </c>
      <c r="G52" s="7" t="s">
        <v>408</v>
      </c>
      <c r="H52" s="7" t="s">
        <v>391</v>
      </c>
    </row>
    <row r="53" customFormat="false" ht="15" hidden="false" customHeight="false" outlineLevel="0" collapsed="false">
      <c r="A53" s="7" t="s">
        <v>504</v>
      </c>
      <c r="B53" s="7" t="s">
        <v>117</v>
      </c>
      <c r="C53" s="7" t="s">
        <v>122</v>
      </c>
      <c r="D53" s="7" t="s">
        <v>505</v>
      </c>
      <c r="E53" s="7" t="s">
        <v>394</v>
      </c>
      <c r="F53" s="7" t="s">
        <v>389</v>
      </c>
      <c r="G53" s="7" t="s">
        <v>433</v>
      </c>
      <c r="H53" s="7" t="s">
        <v>401</v>
      </c>
    </row>
    <row r="54" customFormat="false" ht="15" hidden="false" customHeight="false" outlineLevel="0" collapsed="false">
      <c r="A54" s="7" t="s">
        <v>506</v>
      </c>
      <c r="B54" s="7" t="s">
        <v>117</v>
      </c>
      <c r="C54" s="7" t="s">
        <v>122</v>
      </c>
      <c r="D54" s="7" t="s">
        <v>507</v>
      </c>
      <c r="E54" s="7" t="s">
        <v>388</v>
      </c>
      <c r="F54" s="7" t="s">
        <v>389</v>
      </c>
      <c r="G54" s="7" t="s">
        <v>433</v>
      </c>
      <c r="H54" s="7" t="s">
        <v>391</v>
      </c>
    </row>
    <row r="55" customFormat="false" ht="15" hidden="false" customHeight="false" outlineLevel="0" collapsed="false">
      <c r="A55" s="7" t="s">
        <v>508</v>
      </c>
      <c r="B55" s="7" t="s">
        <v>123</v>
      </c>
      <c r="C55" s="7" t="s">
        <v>122</v>
      </c>
      <c r="D55" s="7" t="s">
        <v>393</v>
      </c>
      <c r="E55" s="7" t="s">
        <v>416</v>
      </c>
      <c r="F55" s="7" t="s">
        <v>407</v>
      </c>
      <c r="G55" s="7" t="s">
        <v>433</v>
      </c>
      <c r="H55" s="7" t="s">
        <v>391</v>
      </c>
    </row>
    <row r="56" customFormat="false" ht="15" hidden="false" customHeight="false" outlineLevel="0" collapsed="false">
      <c r="A56" s="7" t="s">
        <v>509</v>
      </c>
      <c r="B56" s="7" t="s">
        <v>123</v>
      </c>
      <c r="C56" s="7" t="s">
        <v>122</v>
      </c>
      <c r="D56" s="7" t="s">
        <v>510</v>
      </c>
      <c r="E56" s="7" t="s">
        <v>416</v>
      </c>
      <c r="F56" s="7" t="s">
        <v>389</v>
      </c>
      <c r="G56" s="7" t="s">
        <v>433</v>
      </c>
      <c r="H56" s="7" t="s">
        <v>397</v>
      </c>
    </row>
    <row r="57" customFormat="false" ht="15" hidden="false" customHeight="false" outlineLevel="0" collapsed="false">
      <c r="A57" s="7" t="s">
        <v>511</v>
      </c>
      <c r="B57" s="7" t="s">
        <v>128</v>
      </c>
      <c r="C57" s="7" t="s">
        <v>122</v>
      </c>
      <c r="D57" s="7" t="s">
        <v>512</v>
      </c>
      <c r="E57" s="7" t="s">
        <v>421</v>
      </c>
      <c r="F57" s="7" t="s">
        <v>395</v>
      </c>
      <c r="G57" s="7" t="s">
        <v>433</v>
      </c>
      <c r="H57" s="7" t="s">
        <v>430</v>
      </c>
    </row>
    <row r="58" customFormat="false" ht="15" hidden="false" customHeight="false" outlineLevel="0" collapsed="false">
      <c r="A58" s="7" t="s">
        <v>513</v>
      </c>
      <c r="B58" s="7" t="s">
        <v>128</v>
      </c>
      <c r="C58" s="7" t="s">
        <v>122</v>
      </c>
      <c r="D58" s="7" t="s">
        <v>514</v>
      </c>
      <c r="E58" s="7" t="s">
        <v>406</v>
      </c>
      <c r="F58" s="7" t="s">
        <v>407</v>
      </c>
      <c r="G58" s="7" t="s">
        <v>433</v>
      </c>
      <c r="H58" s="7" t="s">
        <v>391</v>
      </c>
    </row>
    <row r="59" customFormat="false" ht="15" hidden="false" customHeight="false" outlineLevel="0" collapsed="false">
      <c r="A59" s="7" t="s">
        <v>515</v>
      </c>
      <c r="B59" s="7" t="s">
        <v>128</v>
      </c>
      <c r="C59" s="7" t="s">
        <v>122</v>
      </c>
      <c r="D59" s="7" t="s">
        <v>516</v>
      </c>
      <c r="E59" s="7" t="s">
        <v>416</v>
      </c>
      <c r="F59" s="7" t="s">
        <v>407</v>
      </c>
      <c r="G59" s="7" t="s">
        <v>408</v>
      </c>
      <c r="H59" s="7" t="s">
        <v>401</v>
      </c>
    </row>
    <row r="60" customFormat="false" ht="15" hidden="false" customHeight="false" outlineLevel="0" collapsed="false">
      <c r="A60" s="7" t="s">
        <v>517</v>
      </c>
      <c r="B60" s="7" t="s">
        <v>128</v>
      </c>
      <c r="C60" s="7" t="s">
        <v>122</v>
      </c>
      <c r="D60" s="7" t="s">
        <v>518</v>
      </c>
      <c r="E60" s="7" t="s">
        <v>388</v>
      </c>
      <c r="F60" s="7" t="s">
        <v>389</v>
      </c>
      <c r="G60" s="7" t="s">
        <v>433</v>
      </c>
      <c r="H60" s="7" t="s">
        <v>397</v>
      </c>
    </row>
    <row r="61" customFormat="false" ht="15" hidden="false" customHeight="false" outlineLevel="0" collapsed="false">
      <c r="A61" s="7" t="s">
        <v>519</v>
      </c>
      <c r="B61" s="7" t="s">
        <v>128</v>
      </c>
      <c r="C61" s="7" t="s">
        <v>122</v>
      </c>
      <c r="D61" s="7" t="s">
        <v>520</v>
      </c>
      <c r="E61" s="7" t="s">
        <v>394</v>
      </c>
      <c r="F61" s="7" t="s">
        <v>407</v>
      </c>
      <c r="G61" s="7" t="s">
        <v>396</v>
      </c>
      <c r="H61" s="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5</v>
      </c>
    </row>
    <row r="3" customFormat="false" ht="15" hidden="false" customHeight="false" outlineLevel="0" collapsed="false">
      <c r="A3" s="6" t="s">
        <v>380</v>
      </c>
      <c r="B3" s="6" t="s">
        <v>7</v>
      </c>
      <c r="C3" s="6" t="s">
        <v>381</v>
      </c>
      <c r="D3" s="6" t="s">
        <v>382</v>
      </c>
      <c r="E3" s="6" t="s">
        <v>383</v>
      </c>
      <c r="F3" s="6" t="s">
        <v>384</v>
      </c>
      <c r="G3" s="6" t="s">
        <v>385</v>
      </c>
    </row>
    <row r="4" customFormat="false" ht="15" hidden="false" customHeight="false" outlineLevel="0" collapsed="false">
      <c r="A4" s="7" t="s">
        <v>386</v>
      </c>
      <c r="B4" s="7" t="s">
        <v>45</v>
      </c>
      <c r="C4" s="7" t="s">
        <v>387</v>
      </c>
      <c r="D4" s="7" t="s">
        <v>388</v>
      </c>
      <c r="E4" s="7" t="s">
        <v>389</v>
      </c>
      <c r="F4" s="7" t="s">
        <v>390</v>
      </c>
      <c r="G4" s="7" t="s">
        <v>391</v>
      </c>
    </row>
    <row r="5" customFormat="false" ht="15" hidden="false" customHeight="false" outlineLevel="0" collapsed="false">
      <c r="A5" s="7" t="s">
        <v>392</v>
      </c>
      <c r="B5" s="7" t="s">
        <v>45</v>
      </c>
      <c r="C5" s="7" t="s">
        <v>393</v>
      </c>
      <c r="D5" s="7" t="s">
        <v>394</v>
      </c>
      <c r="E5" s="7" t="s">
        <v>395</v>
      </c>
      <c r="F5" s="7" t="s">
        <v>396</v>
      </c>
      <c r="G5" s="7" t="s">
        <v>397</v>
      </c>
    </row>
    <row r="6" customFormat="false" ht="15" hidden="false" customHeight="false" outlineLevel="0" collapsed="false">
      <c r="A6" s="7" t="s">
        <v>398</v>
      </c>
      <c r="B6" s="7" t="s">
        <v>53</v>
      </c>
      <c r="C6" s="7" t="s">
        <v>399</v>
      </c>
      <c r="D6" s="7" t="s">
        <v>400</v>
      </c>
      <c r="E6" s="7" t="s">
        <v>389</v>
      </c>
      <c r="F6" s="7" t="s">
        <v>390</v>
      </c>
      <c r="G6" s="7" t="s">
        <v>401</v>
      </c>
    </row>
    <row r="7" customFormat="false" ht="15" hidden="false" customHeight="false" outlineLevel="0" collapsed="false">
      <c r="A7" s="7" t="s">
        <v>402</v>
      </c>
      <c r="B7" s="7" t="s">
        <v>53</v>
      </c>
      <c r="C7" s="7" t="s">
        <v>403</v>
      </c>
      <c r="D7" s="7" t="s">
        <v>394</v>
      </c>
      <c r="E7" s="7" t="s">
        <v>389</v>
      </c>
      <c r="F7" s="7" t="s">
        <v>396</v>
      </c>
      <c r="G7" s="7" t="s">
        <v>391</v>
      </c>
    </row>
    <row r="8" customFormat="false" ht="15" hidden="false" customHeight="false" outlineLevel="0" collapsed="false">
      <c r="A8" s="7" t="s">
        <v>404</v>
      </c>
      <c r="B8" s="7" t="s">
        <v>53</v>
      </c>
      <c r="C8" s="7" t="s">
        <v>405</v>
      </c>
      <c r="D8" s="7" t="s">
        <v>406</v>
      </c>
      <c r="E8" s="7" t="s">
        <v>407</v>
      </c>
      <c r="F8" s="7" t="s">
        <v>408</v>
      </c>
      <c r="G8" s="7" t="s">
        <v>401</v>
      </c>
    </row>
    <row r="9" customFormat="false" ht="15" hidden="false" customHeight="false" outlineLevel="0" collapsed="false">
      <c r="A9" s="7" t="s">
        <v>409</v>
      </c>
      <c r="B9" s="7" t="s">
        <v>53</v>
      </c>
      <c r="C9" s="7" t="s">
        <v>410</v>
      </c>
      <c r="D9" s="7" t="s">
        <v>406</v>
      </c>
      <c r="E9" s="7" t="s">
        <v>389</v>
      </c>
      <c r="F9" s="7" t="s">
        <v>396</v>
      </c>
      <c r="G9" s="7" t="s">
        <v>397</v>
      </c>
    </row>
    <row r="10" customFormat="false" ht="15" hidden="false" customHeight="false" outlineLevel="0" collapsed="false">
      <c r="A10" s="7" t="s">
        <v>411</v>
      </c>
      <c r="B10" s="7" t="s">
        <v>53</v>
      </c>
      <c r="C10" s="7" t="s">
        <v>412</v>
      </c>
      <c r="D10" s="7" t="s">
        <v>394</v>
      </c>
      <c r="E10" s="7" t="s">
        <v>407</v>
      </c>
      <c r="F10" s="7" t="s">
        <v>413</v>
      </c>
      <c r="G10" s="7" t="s">
        <v>391</v>
      </c>
    </row>
    <row r="11" customFormat="false" ht="15" hidden="false" customHeight="false" outlineLevel="0" collapsed="false">
      <c r="A11" s="7" t="s">
        <v>414</v>
      </c>
      <c r="B11" s="7" t="s">
        <v>61</v>
      </c>
      <c r="C11" s="7" t="s">
        <v>415</v>
      </c>
      <c r="D11" s="7" t="s">
        <v>416</v>
      </c>
      <c r="E11" s="7" t="s">
        <v>389</v>
      </c>
      <c r="F11" s="7" t="s">
        <v>408</v>
      </c>
      <c r="G11" s="7" t="s">
        <v>391</v>
      </c>
    </row>
    <row r="12" customFormat="false" ht="15" hidden="false" customHeight="false" outlineLevel="0" collapsed="false">
      <c r="A12" s="7" t="s">
        <v>417</v>
      </c>
      <c r="B12" s="7" t="s">
        <v>61</v>
      </c>
      <c r="C12" s="7" t="s">
        <v>418</v>
      </c>
      <c r="D12" s="7" t="s">
        <v>394</v>
      </c>
      <c r="E12" s="7" t="s">
        <v>389</v>
      </c>
      <c r="F12" s="7" t="s">
        <v>413</v>
      </c>
      <c r="G12" s="7" t="s">
        <v>397</v>
      </c>
    </row>
    <row r="13" customFormat="false" ht="15" hidden="false" customHeight="false" outlineLevel="0" collapsed="false">
      <c r="A13" s="7" t="s">
        <v>419</v>
      </c>
      <c r="B13" s="7" t="s">
        <v>61</v>
      </c>
      <c r="C13" s="7" t="s">
        <v>420</v>
      </c>
      <c r="D13" s="7" t="s">
        <v>421</v>
      </c>
      <c r="E13" s="7" t="s">
        <v>395</v>
      </c>
      <c r="F13" s="7" t="s">
        <v>396</v>
      </c>
      <c r="G13" s="7" t="s">
        <v>397</v>
      </c>
    </row>
    <row r="14" customFormat="false" ht="15" hidden="false" customHeight="false" outlineLevel="0" collapsed="false">
      <c r="A14" s="7" t="s">
        <v>422</v>
      </c>
      <c r="B14" s="7" t="s">
        <v>61</v>
      </c>
      <c r="C14" s="7" t="s">
        <v>423</v>
      </c>
      <c r="D14" s="7" t="s">
        <v>406</v>
      </c>
      <c r="E14" s="7" t="s">
        <v>389</v>
      </c>
      <c r="F14" s="7" t="s">
        <v>408</v>
      </c>
      <c r="G14" s="7" t="s">
        <v>397</v>
      </c>
    </row>
    <row r="15" customFormat="false" ht="15" hidden="false" customHeight="false" outlineLevel="0" collapsed="false">
      <c r="A15" s="7" t="s">
        <v>424</v>
      </c>
      <c r="B15" s="7" t="s">
        <v>61</v>
      </c>
      <c r="C15" s="7" t="s">
        <v>425</v>
      </c>
      <c r="D15" s="7" t="s">
        <v>388</v>
      </c>
      <c r="E15" s="7" t="s">
        <v>395</v>
      </c>
      <c r="F15" s="7" t="s">
        <v>413</v>
      </c>
      <c r="G15" s="7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72</v>
      </c>
    </row>
    <row r="3" customFormat="false" ht="15" hidden="false" customHeight="false" outlineLevel="0" collapsed="false">
      <c r="A3" s="6" t="s">
        <v>380</v>
      </c>
      <c r="B3" s="6" t="s">
        <v>7</v>
      </c>
      <c r="C3" s="6" t="s">
        <v>381</v>
      </c>
      <c r="D3" s="6" t="s">
        <v>382</v>
      </c>
      <c r="E3" s="6" t="s">
        <v>383</v>
      </c>
      <c r="F3" s="6" t="s">
        <v>384</v>
      </c>
      <c r="G3" s="6" t="s">
        <v>385</v>
      </c>
    </row>
    <row r="4" customFormat="false" ht="15" hidden="false" customHeight="false" outlineLevel="0" collapsed="false">
      <c r="A4" s="7" t="s">
        <v>426</v>
      </c>
      <c r="B4" s="7" t="s">
        <v>67</v>
      </c>
      <c r="C4" s="7" t="s">
        <v>427</v>
      </c>
      <c r="D4" s="7" t="s">
        <v>394</v>
      </c>
      <c r="E4" s="7" t="s">
        <v>407</v>
      </c>
      <c r="F4" s="7" t="s">
        <v>413</v>
      </c>
      <c r="G4" s="7" t="s">
        <v>391</v>
      </c>
    </row>
    <row r="5" customFormat="false" ht="15" hidden="false" customHeight="false" outlineLevel="0" collapsed="false">
      <c r="A5" s="7" t="s">
        <v>428</v>
      </c>
      <c r="B5" s="7" t="s">
        <v>67</v>
      </c>
      <c r="C5" s="7" t="s">
        <v>429</v>
      </c>
      <c r="D5" s="7" t="s">
        <v>400</v>
      </c>
      <c r="E5" s="7" t="s">
        <v>395</v>
      </c>
      <c r="F5" s="7" t="s">
        <v>390</v>
      </c>
      <c r="G5" s="7" t="s">
        <v>430</v>
      </c>
    </row>
    <row r="6" customFormat="false" ht="15" hidden="false" customHeight="false" outlineLevel="0" collapsed="false">
      <c r="A6" s="7" t="s">
        <v>431</v>
      </c>
      <c r="B6" s="7" t="s">
        <v>74</v>
      </c>
      <c r="C6" s="7" t="s">
        <v>432</v>
      </c>
      <c r="D6" s="7" t="s">
        <v>394</v>
      </c>
      <c r="E6" s="7" t="s">
        <v>389</v>
      </c>
      <c r="F6" s="7" t="s">
        <v>433</v>
      </c>
      <c r="G6" s="7" t="s">
        <v>401</v>
      </c>
    </row>
    <row r="7" customFormat="false" ht="15" hidden="false" customHeight="false" outlineLevel="0" collapsed="false">
      <c r="A7" s="7" t="s">
        <v>434</v>
      </c>
      <c r="B7" s="7" t="s">
        <v>74</v>
      </c>
      <c r="C7" s="7" t="s">
        <v>435</v>
      </c>
      <c r="D7" s="7" t="s">
        <v>400</v>
      </c>
      <c r="E7" s="7" t="s">
        <v>389</v>
      </c>
      <c r="F7" s="7" t="s">
        <v>413</v>
      </c>
      <c r="G7" s="7" t="s">
        <v>391</v>
      </c>
    </row>
    <row r="8" customFormat="false" ht="15" hidden="false" customHeight="false" outlineLevel="0" collapsed="false">
      <c r="A8" s="7" t="s">
        <v>436</v>
      </c>
      <c r="B8" s="7" t="s">
        <v>74</v>
      </c>
      <c r="C8" s="7" t="s">
        <v>437</v>
      </c>
      <c r="D8" s="7" t="s">
        <v>400</v>
      </c>
      <c r="E8" s="7" t="s">
        <v>389</v>
      </c>
      <c r="F8" s="7" t="s">
        <v>408</v>
      </c>
      <c r="G8" s="7" t="s">
        <v>391</v>
      </c>
    </row>
    <row r="9" customFormat="false" ht="15" hidden="false" customHeight="false" outlineLevel="0" collapsed="false">
      <c r="A9" s="7" t="s">
        <v>438</v>
      </c>
      <c r="B9" s="7" t="s">
        <v>79</v>
      </c>
      <c r="C9" s="7" t="s">
        <v>439</v>
      </c>
      <c r="D9" s="7" t="s">
        <v>406</v>
      </c>
      <c r="E9" s="7" t="s">
        <v>389</v>
      </c>
      <c r="F9" s="7" t="s">
        <v>433</v>
      </c>
      <c r="G9" s="7" t="s">
        <v>430</v>
      </c>
    </row>
    <row r="10" customFormat="false" ht="15" hidden="false" customHeight="false" outlineLevel="0" collapsed="false">
      <c r="A10" s="7" t="s">
        <v>440</v>
      </c>
      <c r="B10" s="7" t="s">
        <v>79</v>
      </c>
      <c r="C10" s="7" t="s">
        <v>441</v>
      </c>
      <c r="D10" s="7" t="s">
        <v>400</v>
      </c>
      <c r="E10" s="7" t="s">
        <v>395</v>
      </c>
      <c r="F10" s="7" t="s">
        <v>433</v>
      </c>
      <c r="G10" s="7" t="s">
        <v>401</v>
      </c>
    </row>
    <row r="11" customFormat="false" ht="15" hidden="false" customHeight="false" outlineLevel="0" collapsed="false">
      <c r="A11" s="7" t="s">
        <v>442</v>
      </c>
      <c r="B11" s="7" t="s">
        <v>79</v>
      </c>
      <c r="C11" s="7" t="s">
        <v>443</v>
      </c>
      <c r="D11" s="7" t="s">
        <v>406</v>
      </c>
      <c r="E11" s="7" t="s">
        <v>407</v>
      </c>
      <c r="F11" s="7" t="s">
        <v>413</v>
      </c>
      <c r="G11" s="7" t="s">
        <v>430</v>
      </c>
    </row>
    <row r="12" customFormat="false" ht="15" hidden="false" customHeight="false" outlineLevel="0" collapsed="false">
      <c r="A12" s="7" t="s">
        <v>444</v>
      </c>
      <c r="B12" s="7" t="s">
        <v>79</v>
      </c>
      <c r="C12" s="7" t="s">
        <v>445</v>
      </c>
      <c r="D12" s="7" t="s">
        <v>400</v>
      </c>
      <c r="E12" s="7" t="s">
        <v>395</v>
      </c>
      <c r="F12" s="7" t="s">
        <v>396</v>
      </c>
      <c r="G12" s="7" t="s">
        <v>401</v>
      </c>
    </row>
    <row r="13" customFormat="false" ht="15" hidden="false" customHeight="false" outlineLevel="0" collapsed="false">
      <c r="A13" s="7" t="s">
        <v>446</v>
      </c>
      <c r="B13" s="7" t="s">
        <v>79</v>
      </c>
      <c r="C13" s="7" t="s">
        <v>447</v>
      </c>
      <c r="D13" s="7" t="s">
        <v>421</v>
      </c>
      <c r="E13" s="7" t="s">
        <v>389</v>
      </c>
      <c r="F13" s="7" t="s">
        <v>396</v>
      </c>
      <c r="G13" s="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89</v>
      </c>
    </row>
    <row r="3" customFormat="false" ht="15" hidden="false" customHeight="false" outlineLevel="0" collapsed="false">
      <c r="A3" s="6" t="s">
        <v>380</v>
      </c>
      <c r="B3" s="6" t="s">
        <v>7</v>
      </c>
      <c r="C3" s="6" t="s">
        <v>381</v>
      </c>
      <c r="D3" s="6" t="s">
        <v>382</v>
      </c>
      <c r="E3" s="6" t="s">
        <v>383</v>
      </c>
      <c r="F3" s="6" t="s">
        <v>384</v>
      </c>
      <c r="G3" s="6" t="s">
        <v>385</v>
      </c>
    </row>
    <row r="4" customFormat="false" ht="15" hidden="false" customHeight="false" outlineLevel="0" collapsed="false">
      <c r="A4" s="7" t="s">
        <v>448</v>
      </c>
      <c r="B4" s="7" t="s">
        <v>84</v>
      </c>
      <c r="C4" s="7" t="s">
        <v>449</v>
      </c>
      <c r="D4" s="7" t="s">
        <v>400</v>
      </c>
      <c r="E4" s="7" t="s">
        <v>395</v>
      </c>
      <c r="F4" s="7" t="s">
        <v>433</v>
      </c>
      <c r="G4" s="7" t="s">
        <v>401</v>
      </c>
    </row>
    <row r="5" customFormat="false" ht="15" hidden="false" customHeight="false" outlineLevel="0" collapsed="false">
      <c r="A5" s="7" t="s">
        <v>450</v>
      </c>
      <c r="B5" s="7" t="s">
        <v>84</v>
      </c>
      <c r="C5" s="7" t="s">
        <v>451</v>
      </c>
      <c r="D5" s="7" t="s">
        <v>416</v>
      </c>
      <c r="E5" s="7" t="s">
        <v>407</v>
      </c>
      <c r="F5" s="7" t="s">
        <v>413</v>
      </c>
      <c r="G5" s="7" t="s">
        <v>401</v>
      </c>
    </row>
    <row r="6" customFormat="false" ht="15" hidden="false" customHeight="false" outlineLevel="0" collapsed="false">
      <c r="A6" s="7" t="s">
        <v>452</v>
      </c>
      <c r="B6" s="7" t="s">
        <v>84</v>
      </c>
      <c r="C6" s="7" t="s">
        <v>453</v>
      </c>
      <c r="D6" s="7" t="s">
        <v>394</v>
      </c>
      <c r="E6" s="7" t="s">
        <v>407</v>
      </c>
      <c r="F6" s="7" t="s">
        <v>408</v>
      </c>
      <c r="G6" s="7" t="s">
        <v>391</v>
      </c>
    </row>
    <row r="7" customFormat="false" ht="15" hidden="false" customHeight="false" outlineLevel="0" collapsed="false">
      <c r="A7" s="7" t="s">
        <v>454</v>
      </c>
      <c r="B7" s="7" t="s">
        <v>84</v>
      </c>
      <c r="C7" s="7" t="s">
        <v>455</v>
      </c>
      <c r="D7" s="7" t="s">
        <v>406</v>
      </c>
      <c r="E7" s="7" t="s">
        <v>407</v>
      </c>
      <c r="F7" s="7" t="s">
        <v>413</v>
      </c>
      <c r="G7" s="7" t="s">
        <v>397</v>
      </c>
    </row>
    <row r="8" customFormat="false" ht="15" hidden="false" customHeight="false" outlineLevel="0" collapsed="false">
      <c r="A8" s="7" t="s">
        <v>456</v>
      </c>
      <c r="B8" s="7" t="s">
        <v>90</v>
      </c>
      <c r="C8" s="7" t="s">
        <v>457</v>
      </c>
      <c r="D8" s="7" t="s">
        <v>388</v>
      </c>
      <c r="E8" s="7" t="s">
        <v>395</v>
      </c>
      <c r="F8" s="7" t="s">
        <v>413</v>
      </c>
      <c r="G8" s="7" t="s">
        <v>397</v>
      </c>
    </row>
    <row r="9" customFormat="false" ht="15" hidden="false" customHeight="false" outlineLevel="0" collapsed="false">
      <c r="A9" s="7" t="s">
        <v>458</v>
      </c>
      <c r="B9" s="7" t="s">
        <v>90</v>
      </c>
      <c r="C9" s="7" t="s">
        <v>459</v>
      </c>
      <c r="D9" s="7" t="s">
        <v>394</v>
      </c>
      <c r="E9" s="7" t="s">
        <v>389</v>
      </c>
      <c r="F9" s="7" t="s">
        <v>433</v>
      </c>
      <c r="G9" s="7" t="s">
        <v>401</v>
      </c>
    </row>
    <row r="10" customFormat="false" ht="15" hidden="false" customHeight="false" outlineLevel="0" collapsed="false">
      <c r="A10" s="7" t="s">
        <v>460</v>
      </c>
      <c r="B10" s="7" t="s">
        <v>90</v>
      </c>
      <c r="C10" s="7" t="s">
        <v>461</v>
      </c>
      <c r="D10" s="7" t="s">
        <v>394</v>
      </c>
      <c r="E10" s="7" t="s">
        <v>407</v>
      </c>
      <c r="F10" s="7" t="s">
        <v>433</v>
      </c>
      <c r="G10" s="7" t="s">
        <v>401</v>
      </c>
    </row>
    <row r="11" customFormat="false" ht="15" hidden="false" customHeight="false" outlineLevel="0" collapsed="false">
      <c r="A11" s="7" t="s">
        <v>462</v>
      </c>
      <c r="B11" s="7" t="s">
        <v>90</v>
      </c>
      <c r="C11" s="7" t="s">
        <v>463</v>
      </c>
      <c r="D11" s="7" t="s">
        <v>400</v>
      </c>
      <c r="E11" s="7" t="s">
        <v>389</v>
      </c>
      <c r="F11" s="7" t="s">
        <v>408</v>
      </c>
      <c r="G11" s="7" t="s">
        <v>430</v>
      </c>
    </row>
    <row r="12" customFormat="false" ht="15" hidden="false" customHeight="false" outlineLevel="0" collapsed="false">
      <c r="A12" s="7" t="s">
        <v>464</v>
      </c>
      <c r="B12" s="7" t="s">
        <v>95</v>
      </c>
      <c r="C12" s="7" t="s">
        <v>465</v>
      </c>
      <c r="D12" s="7" t="s">
        <v>421</v>
      </c>
      <c r="E12" s="7" t="s">
        <v>389</v>
      </c>
      <c r="F12" s="7" t="s">
        <v>396</v>
      </c>
      <c r="G12" s="7" t="s">
        <v>391</v>
      </c>
    </row>
    <row r="13" customFormat="false" ht="15" hidden="false" customHeight="false" outlineLevel="0" collapsed="false">
      <c r="A13" s="7" t="s">
        <v>466</v>
      </c>
      <c r="B13" s="7" t="s">
        <v>95</v>
      </c>
      <c r="C13" s="7" t="s">
        <v>467</v>
      </c>
      <c r="D13" s="7" t="s">
        <v>388</v>
      </c>
      <c r="E13" s="7" t="s">
        <v>389</v>
      </c>
      <c r="F13" s="7" t="s">
        <v>390</v>
      </c>
      <c r="G13" s="7" t="s">
        <v>397</v>
      </c>
    </row>
    <row r="14" customFormat="false" ht="15" hidden="false" customHeight="false" outlineLevel="0" collapsed="false">
      <c r="A14" s="7" t="s">
        <v>468</v>
      </c>
      <c r="B14" s="7" t="s">
        <v>95</v>
      </c>
      <c r="C14" s="7" t="s">
        <v>469</v>
      </c>
      <c r="D14" s="7" t="s">
        <v>416</v>
      </c>
      <c r="E14" s="7" t="s">
        <v>395</v>
      </c>
      <c r="F14" s="7" t="s">
        <v>396</v>
      </c>
      <c r="G14" s="7" t="s">
        <v>430</v>
      </c>
    </row>
    <row r="15" customFormat="false" ht="15" hidden="false" customHeight="false" outlineLevel="0" collapsed="false">
      <c r="A15" s="7" t="s">
        <v>470</v>
      </c>
      <c r="B15" s="7" t="s">
        <v>95</v>
      </c>
      <c r="C15" s="7" t="s">
        <v>471</v>
      </c>
      <c r="D15" s="7" t="s">
        <v>400</v>
      </c>
      <c r="E15" s="7" t="s">
        <v>407</v>
      </c>
      <c r="F15" s="7" t="s">
        <v>413</v>
      </c>
      <c r="G15" s="7" t="s">
        <v>391</v>
      </c>
    </row>
    <row r="16" customFormat="false" ht="15" hidden="false" customHeight="false" outlineLevel="0" collapsed="false">
      <c r="A16" s="7" t="s">
        <v>472</v>
      </c>
      <c r="B16" s="7" t="s">
        <v>95</v>
      </c>
      <c r="C16" s="7" t="s">
        <v>473</v>
      </c>
      <c r="D16" s="7" t="s">
        <v>406</v>
      </c>
      <c r="E16" s="7" t="s">
        <v>407</v>
      </c>
      <c r="F16" s="7" t="s">
        <v>396</v>
      </c>
      <c r="G16" s="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106</v>
      </c>
    </row>
    <row r="3" customFormat="false" ht="15" hidden="false" customHeight="false" outlineLevel="0" collapsed="false">
      <c r="A3" s="6" t="s">
        <v>380</v>
      </c>
      <c r="B3" s="6" t="s">
        <v>7</v>
      </c>
      <c r="C3" s="6" t="s">
        <v>381</v>
      </c>
      <c r="D3" s="6" t="s">
        <v>382</v>
      </c>
      <c r="E3" s="6" t="s">
        <v>383</v>
      </c>
      <c r="F3" s="6" t="s">
        <v>384</v>
      </c>
      <c r="G3" s="6" t="s">
        <v>385</v>
      </c>
    </row>
    <row r="4" customFormat="false" ht="15" hidden="false" customHeight="false" outlineLevel="0" collapsed="false">
      <c r="A4" s="7" t="s">
        <v>474</v>
      </c>
      <c r="B4" s="7" t="s">
        <v>101</v>
      </c>
      <c r="C4" s="7" t="s">
        <v>475</v>
      </c>
      <c r="D4" s="7" t="s">
        <v>421</v>
      </c>
      <c r="E4" s="7" t="s">
        <v>389</v>
      </c>
      <c r="F4" s="7" t="s">
        <v>390</v>
      </c>
      <c r="G4" s="7" t="s">
        <v>430</v>
      </c>
    </row>
    <row r="5" customFormat="false" ht="15" hidden="false" customHeight="false" outlineLevel="0" collapsed="false">
      <c r="A5" s="7" t="s">
        <v>476</v>
      </c>
      <c r="B5" s="7" t="s">
        <v>101</v>
      </c>
      <c r="C5" s="7" t="s">
        <v>477</v>
      </c>
      <c r="D5" s="7" t="s">
        <v>416</v>
      </c>
      <c r="E5" s="7" t="s">
        <v>389</v>
      </c>
      <c r="F5" s="7" t="s">
        <v>390</v>
      </c>
      <c r="G5" s="7" t="s">
        <v>391</v>
      </c>
    </row>
    <row r="6" customFormat="false" ht="15" hidden="false" customHeight="false" outlineLevel="0" collapsed="false">
      <c r="A6" s="7" t="s">
        <v>478</v>
      </c>
      <c r="B6" s="7" t="s">
        <v>101</v>
      </c>
      <c r="C6" s="7" t="s">
        <v>479</v>
      </c>
      <c r="D6" s="7" t="s">
        <v>388</v>
      </c>
      <c r="E6" s="7" t="s">
        <v>389</v>
      </c>
      <c r="F6" s="7" t="s">
        <v>390</v>
      </c>
      <c r="G6" s="7" t="s">
        <v>397</v>
      </c>
    </row>
    <row r="7" customFormat="false" ht="15" hidden="false" customHeight="false" outlineLevel="0" collapsed="false">
      <c r="A7" s="7" t="s">
        <v>480</v>
      </c>
      <c r="B7" s="7" t="s">
        <v>101</v>
      </c>
      <c r="C7" s="7" t="s">
        <v>356</v>
      </c>
      <c r="D7" s="7" t="s">
        <v>400</v>
      </c>
      <c r="E7" s="7" t="s">
        <v>407</v>
      </c>
      <c r="F7" s="7" t="s">
        <v>396</v>
      </c>
      <c r="G7" s="7" t="s">
        <v>391</v>
      </c>
    </row>
    <row r="8" customFormat="false" ht="15" hidden="false" customHeight="false" outlineLevel="0" collapsed="false">
      <c r="A8" s="7" t="s">
        <v>481</v>
      </c>
      <c r="B8" s="7" t="s">
        <v>101</v>
      </c>
      <c r="C8" s="7" t="s">
        <v>482</v>
      </c>
      <c r="D8" s="7" t="s">
        <v>400</v>
      </c>
      <c r="E8" s="7" t="s">
        <v>389</v>
      </c>
      <c r="F8" s="7" t="s">
        <v>396</v>
      </c>
      <c r="G8" s="7" t="s">
        <v>391</v>
      </c>
    </row>
    <row r="9" customFormat="false" ht="15" hidden="false" customHeight="false" outlineLevel="0" collapsed="false">
      <c r="A9" s="7" t="s">
        <v>483</v>
      </c>
      <c r="B9" s="7" t="s">
        <v>107</v>
      </c>
      <c r="C9" s="7" t="s">
        <v>484</v>
      </c>
      <c r="D9" s="7" t="s">
        <v>400</v>
      </c>
      <c r="E9" s="7" t="s">
        <v>407</v>
      </c>
      <c r="F9" s="7" t="s">
        <v>390</v>
      </c>
      <c r="G9" s="7" t="s">
        <v>391</v>
      </c>
    </row>
    <row r="10" customFormat="false" ht="15" hidden="false" customHeight="false" outlineLevel="0" collapsed="false">
      <c r="A10" s="7" t="s">
        <v>485</v>
      </c>
      <c r="B10" s="7" t="s">
        <v>107</v>
      </c>
      <c r="C10" s="7" t="s">
        <v>486</v>
      </c>
      <c r="D10" s="7" t="s">
        <v>388</v>
      </c>
      <c r="E10" s="7" t="s">
        <v>395</v>
      </c>
      <c r="F10" s="7" t="s">
        <v>396</v>
      </c>
      <c r="G10" s="7" t="s">
        <v>401</v>
      </c>
    </row>
    <row r="11" customFormat="false" ht="15" hidden="false" customHeight="false" outlineLevel="0" collapsed="false">
      <c r="A11" s="7" t="s">
        <v>487</v>
      </c>
      <c r="B11" s="7" t="s">
        <v>107</v>
      </c>
      <c r="C11" s="7" t="s">
        <v>488</v>
      </c>
      <c r="D11" s="7" t="s">
        <v>400</v>
      </c>
      <c r="E11" s="7" t="s">
        <v>407</v>
      </c>
      <c r="F11" s="7" t="s">
        <v>396</v>
      </c>
      <c r="G11" s="7" t="s">
        <v>391</v>
      </c>
    </row>
    <row r="12" customFormat="false" ht="15" hidden="false" customHeight="false" outlineLevel="0" collapsed="false">
      <c r="A12" s="7" t="s">
        <v>489</v>
      </c>
      <c r="B12" s="7" t="s">
        <v>107</v>
      </c>
      <c r="C12" s="7" t="s">
        <v>490</v>
      </c>
      <c r="D12" s="7" t="s">
        <v>421</v>
      </c>
      <c r="E12" s="7" t="s">
        <v>407</v>
      </c>
      <c r="F12" s="7" t="s">
        <v>413</v>
      </c>
      <c r="G12" s="7" t="s">
        <v>391</v>
      </c>
    </row>
    <row r="13" customFormat="false" ht="15" hidden="false" customHeight="false" outlineLevel="0" collapsed="false">
      <c r="A13" s="7" t="s">
        <v>491</v>
      </c>
      <c r="B13" s="7" t="s">
        <v>107</v>
      </c>
      <c r="C13" s="7" t="s">
        <v>492</v>
      </c>
      <c r="D13" s="7" t="s">
        <v>416</v>
      </c>
      <c r="E13" s="7" t="s">
        <v>389</v>
      </c>
      <c r="F13" s="7" t="s">
        <v>408</v>
      </c>
      <c r="G13" s="7" t="s">
        <v>391</v>
      </c>
    </row>
    <row r="14" customFormat="false" ht="15" hidden="false" customHeight="false" outlineLevel="0" collapsed="false">
      <c r="A14" s="7" t="s">
        <v>493</v>
      </c>
      <c r="B14" s="7" t="s">
        <v>112</v>
      </c>
      <c r="C14" s="7" t="s">
        <v>494</v>
      </c>
      <c r="D14" s="7" t="s">
        <v>394</v>
      </c>
      <c r="E14" s="7" t="s">
        <v>389</v>
      </c>
      <c r="F14" s="7" t="s">
        <v>413</v>
      </c>
      <c r="G14" s="7" t="s">
        <v>401</v>
      </c>
    </row>
    <row r="15" customFormat="false" ht="15" hidden="false" customHeight="false" outlineLevel="0" collapsed="false">
      <c r="A15" s="7" t="s">
        <v>495</v>
      </c>
      <c r="B15" s="7" t="s">
        <v>112</v>
      </c>
      <c r="C15" s="7" t="s">
        <v>496</v>
      </c>
      <c r="D15" s="7" t="s">
        <v>406</v>
      </c>
      <c r="E15" s="7" t="s">
        <v>395</v>
      </c>
      <c r="F15" s="7" t="s">
        <v>390</v>
      </c>
      <c r="G15" s="7" t="s">
        <v>430</v>
      </c>
    </row>
    <row r="16" customFormat="false" ht="15" hidden="false" customHeight="false" outlineLevel="0" collapsed="false">
      <c r="A16" s="7" t="s">
        <v>497</v>
      </c>
      <c r="B16" s="7" t="s">
        <v>112</v>
      </c>
      <c r="C16" s="7" t="s">
        <v>498</v>
      </c>
      <c r="D16" s="7" t="s">
        <v>400</v>
      </c>
      <c r="E16" s="7" t="s">
        <v>395</v>
      </c>
      <c r="F16" s="7" t="s">
        <v>408</v>
      </c>
      <c r="G16" s="7" t="s">
        <v>401</v>
      </c>
    </row>
    <row r="17" customFormat="false" ht="15" hidden="false" customHeight="false" outlineLevel="0" collapsed="false">
      <c r="A17" s="7" t="s">
        <v>499</v>
      </c>
      <c r="B17" s="7" t="s">
        <v>112</v>
      </c>
      <c r="C17" s="7" t="s">
        <v>500</v>
      </c>
      <c r="D17" s="7" t="s">
        <v>406</v>
      </c>
      <c r="E17" s="7" t="s">
        <v>389</v>
      </c>
      <c r="F17" s="7" t="s">
        <v>396</v>
      </c>
      <c r="G17" s="7" t="s">
        <v>391</v>
      </c>
    </row>
    <row r="18" customFormat="false" ht="15" hidden="false" customHeight="false" outlineLevel="0" collapsed="false">
      <c r="A18" s="7" t="s">
        <v>501</v>
      </c>
      <c r="B18" s="7" t="s">
        <v>112</v>
      </c>
      <c r="C18" s="7" t="s">
        <v>221</v>
      </c>
      <c r="D18" s="7" t="s">
        <v>416</v>
      </c>
      <c r="E18" s="7" t="s">
        <v>407</v>
      </c>
      <c r="F18" s="7" t="s">
        <v>396</v>
      </c>
      <c r="G18" s="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17.35" hidden="false" customHeight="false" outlineLevel="0" collapsed="false">
      <c r="B1" s="1" t="s">
        <v>122</v>
      </c>
    </row>
    <row r="3" customFormat="false" ht="15" hidden="false" customHeight="false" outlineLevel="0" collapsed="false">
      <c r="A3" s="6" t="s">
        <v>380</v>
      </c>
      <c r="B3" s="6" t="s">
        <v>7</v>
      </c>
      <c r="C3" s="6" t="s">
        <v>381</v>
      </c>
      <c r="D3" s="6" t="s">
        <v>382</v>
      </c>
      <c r="E3" s="6" t="s">
        <v>383</v>
      </c>
      <c r="F3" s="6" t="s">
        <v>384</v>
      </c>
      <c r="G3" s="6" t="s">
        <v>385</v>
      </c>
    </row>
    <row r="4" customFormat="false" ht="15" hidden="false" customHeight="false" outlineLevel="0" collapsed="false">
      <c r="A4" s="7" t="s">
        <v>502</v>
      </c>
      <c r="B4" s="7" t="s">
        <v>117</v>
      </c>
      <c r="C4" s="7" t="s">
        <v>503</v>
      </c>
      <c r="D4" s="7" t="s">
        <v>416</v>
      </c>
      <c r="E4" s="7" t="s">
        <v>389</v>
      </c>
      <c r="F4" s="7" t="s">
        <v>408</v>
      </c>
      <c r="G4" s="7" t="s">
        <v>391</v>
      </c>
    </row>
    <row r="5" customFormat="false" ht="15" hidden="false" customHeight="false" outlineLevel="0" collapsed="false">
      <c r="A5" s="7" t="s">
        <v>504</v>
      </c>
      <c r="B5" s="7" t="s">
        <v>117</v>
      </c>
      <c r="C5" s="7" t="s">
        <v>505</v>
      </c>
      <c r="D5" s="7" t="s">
        <v>394</v>
      </c>
      <c r="E5" s="7" t="s">
        <v>389</v>
      </c>
      <c r="F5" s="7" t="s">
        <v>433</v>
      </c>
      <c r="G5" s="7" t="s">
        <v>401</v>
      </c>
    </row>
    <row r="6" customFormat="false" ht="15" hidden="false" customHeight="false" outlineLevel="0" collapsed="false">
      <c r="A6" s="7" t="s">
        <v>506</v>
      </c>
      <c r="B6" s="7" t="s">
        <v>117</v>
      </c>
      <c r="C6" s="7" t="s">
        <v>507</v>
      </c>
      <c r="D6" s="7" t="s">
        <v>388</v>
      </c>
      <c r="E6" s="7" t="s">
        <v>389</v>
      </c>
      <c r="F6" s="7" t="s">
        <v>433</v>
      </c>
      <c r="G6" s="7" t="s">
        <v>391</v>
      </c>
    </row>
    <row r="7" customFormat="false" ht="15" hidden="false" customHeight="false" outlineLevel="0" collapsed="false">
      <c r="A7" s="7" t="s">
        <v>508</v>
      </c>
      <c r="B7" s="7" t="s">
        <v>123</v>
      </c>
      <c r="C7" s="7" t="s">
        <v>393</v>
      </c>
      <c r="D7" s="7" t="s">
        <v>416</v>
      </c>
      <c r="E7" s="7" t="s">
        <v>407</v>
      </c>
      <c r="F7" s="7" t="s">
        <v>433</v>
      </c>
      <c r="G7" s="7" t="s">
        <v>391</v>
      </c>
    </row>
    <row r="8" customFormat="false" ht="15" hidden="false" customHeight="false" outlineLevel="0" collapsed="false">
      <c r="A8" s="7" t="s">
        <v>509</v>
      </c>
      <c r="B8" s="7" t="s">
        <v>123</v>
      </c>
      <c r="C8" s="7" t="s">
        <v>510</v>
      </c>
      <c r="D8" s="7" t="s">
        <v>416</v>
      </c>
      <c r="E8" s="7" t="s">
        <v>389</v>
      </c>
      <c r="F8" s="7" t="s">
        <v>433</v>
      </c>
      <c r="G8" s="7" t="s">
        <v>397</v>
      </c>
    </row>
    <row r="9" customFormat="false" ht="15" hidden="false" customHeight="false" outlineLevel="0" collapsed="false">
      <c r="A9" s="7" t="s">
        <v>511</v>
      </c>
      <c r="B9" s="7" t="s">
        <v>128</v>
      </c>
      <c r="C9" s="7" t="s">
        <v>512</v>
      </c>
      <c r="D9" s="7" t="s">
        <v>421</v>
      </c>
      <c r="E9" s="7" t="s">
        <v>395</v>
      </c>
      <c r="F9" s="7" t="s">
        <v>433</v>
      </c>
      <c r="G9" s="7" t="s">
        <v>430</v>
      </c>
    </row>
    <row r="10" customFormat="false" ht="15" hidden="false" customHeight="false" outlineLevel="0" collapsed="false">
      <c r="A10" s="7" t="s">
        <v>513</v>
      </c>
      <c r="B10" s="7" t="s">
        <v>128</v>
      </c>
      <c r="C10" s="7" t="s">
        <v>514</v>
      </c>
      <c r="D10" s="7" t="s">
        <v>406</v>
      </c>
      <c r="E10" s="7" t="s">
        <v>407</v>
      </c>
      <c r="F10" s="7" t="s">
        <v>433</v>
      </c>
      <c r="G10" s="7" t="s">
        <v>391</v>
      </c>
    </row>
    <row r="11" customFormat="false" ht="15" hidden="false" customHeight="false" outlineLevel="0" collapsed="false">
      <c r="A11" s="7" t="s">
        <v>515</v>
      </c>
      <c r="B11" s="7" t="s">
        <v>128</v>
      </c>
      <c r="C11" s="7" t="s">
        <v>516</v>
      </c>
      <c r="D11" s="7" t="s">
        <v>416</v>
      </c>
      <c r="E11" s="7" t="s">
        <v>407</v>
      </c>
      <c r="F11" s="7" t="s">
        <v>408</v>
      </c>
      <c r="G11" s="7" t="s">
        <v>401</v>
      </c>
    </row>
    <row r="12" customFormat="false" ht="15" hidden="false" customHeight="false" outlineLevel="0" collapsed="false">
      <c r="A12" s="7" t="s">
        <v>517</v>
      </c>
      <c r="B12" s="7" t="s">
        <v>128</v>
      </c>
      <c r="C12" s="7" t="s">
        <v>518</v>
      </c>
      <c r="D12" s="7" t="s">
        <v>388</v>
      </c>
      <c r="E12" s="7" t="s">
        <v>389</v>
      </c>
      <c r="F12" s="7" t="s">
        <v>433</v>
      </c>
      <c r="G12" s="7" t="s">
        <v>397</v>
      </c>
    </row>
    <row r="13" customFormat="false" ht="15" hidden="false" customHeight="false" outlineLevel="0" collapsed="false">
      <c r="A13" s="7" t="s">
        <v>519</v>
      </c>
      <c r="B13" s="7" t="s">
        <v>128</v>
      </c>
      <c r="C13" s="7" t="s">
        <v>520</v>
      </c>
      <c r="D13" s="7" t="s">
        <v>394</v>
      </c>
      <c r="E13" s="7" t="s">
        <v>407</v>
      </c>
      <c r="F13" s="7" t="s">
        <v>396</v>
      </c>
      <c r="G13" s="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521</v>
      </c>
    </row>
    <row r="4" customFormat="false" ht="15" hidden="false" customHeight="false" outlineLevel="0" collapsed="false">
      <c r="B4" s="9"/>
    </row>
    <row r="5" customFormat="false" ht="15" hidden="false" customHeight="false" outlineLevel="0" collapsed="false">
      <c r="B5" s="9" t="s">
        <v>522</v>
      </c>
    </row>
    <row r="6" customFormat="false" ht="15" hidden="false" customHeight="false" outlineLevel="0" collapsed="false">
      <c r="B6" s="9" t="s">
        <v>523</v>
      </c>
    </row>
    <row r="7" customFormat="false" ht="15" hidden="false" customHeight="false" outlineLevel="0" collapsed="false">
      <c r="B7" s="9" t="s">
        <v>524</v>
      </c>
    </row>
    <row r="8" customFormat="false" ht="15" hidden="false" customHeight="false" outlineLevel="0" collapsed="false">
      <c r="B8" s="9" t="s">
        <v>525</v>
      </c>
    </row>
    <row r="9" customFormat="false" ht="15" hidden="false" customHeight="false" outlineLevel="0" collapsed="false">
      <c r="B9" s="9" t="s">
        <v>526</v>
      </c>
    </row>
    <row r="10" customFormat="false" ht="15" hidden="false" customHeight="false" outlineLevel="0" collapsed="false">
      <c r="B10" s="9" t="s">
        <v>527</v>
      </c>
    </row>
    <row r="11" customFormat="false" ht="15" hidden="false" customHeight="false" outlineLevel="0" collapsed="false">
      <c r="B11" s="9"/>
    </row>
    <row r="12" customFormat="false" ht="15" hidden="false" customHeight="false" outlineLevel="0" collapsed="false">
      <c r="B12" s="9" t="s">
        <v>528</v>
      </c>
    </row>
    <row r="13" customFormat="false" ht="15" hidden="false" customHeight="false" outlineLevel="0" collapsed="false">
      <c r="B13" s="9" t="s">
        <v>529</v>
      </c>
    </row>
    <row r="14" customFormat="false" ht="15" hidden="false" customHeight="false" outlineLevel="0" collapsed="false">
      <c r="B14" s="9" t="s">
        <v>530</v>
      </c>
    </row>
    <row r="15" customFormat="false" ht="15" hidden="false" customHeight="false" outlineLevel="0" collapsed="false">
      <c r="B15" s="9" t="s">
        <v>531</v>
      </c>
    </row>
    <row r="16" customFormat="false" ht="15" hidden="false" customHeight="false" outlineLevel="0" collapsed="false">
      <c r="B16" s="9" t="s">
        <v>532</v>
      </c>
    </row>
    <row r="17" customFormat="false" ht="15" hidden="false" customHeight="false" outlineLevel="0" collapsed="false">
      <c r="B17" s="9" t="s">
        <v>533</v>
      </c>
    </row>
    <row r="18" customFormat="false" ht="15" hidden="false" customHeight="false" outlineLevel="0" collapsed="false">
      <c r="B18" s="9" t="s">
        <v>534</v>
      </c>
    </row>
    <row r="19" customFormat="false" ht="15" hidden="false" customHeight="false" outlineLevel="0" collapsed="false">
      <c r="B19" s="9" t="s">
        <v>535</v>
      </c>
    </row>
    <row r="20" customFormat="false" ht="15" hidden="false" customHeight="false" outlineLevel="0" collapsed="false">
      <c r="B20" s="9" t="s">
        <v>536</v>
      </c>
    </row>
    <row r="21" customFormat="false" ht="15" hidden="false" customHeight="false" outlineLevel="0" collapsed="false">
      <c r="B21" s="9"/>
    </row>
    <row r="22" customFormat="false" ht="15" hidden="false" customHeight="false" outlineLevel="0" collapsed="false">
      <c r="B22" s="9" t="s">
        <v>537</v>
      </c>
    </row>
    <row r="23" customFormat="false" ht="15" hidden="false" customHeight="false" outlineLevel="0" collapsed="false">
      <c r="B23" s="9" t="s">
        <v>538</v>
      </c>
    </row>
    <row r="24" customFormat="false" ht="15" hidden="false" customHeight="false" outlineLevel="0" collapsed="false">
      <c r="B24" s="9" t="s">
        <v>539</v>
      </c>
    </row>
    <row r="25" customFormat="false" ht="15" hidden="false" customHeight="false" outlineLevel="0" collapsed="false">
      <c r="B25" s="9" t="s">
        <v>540</v>
      </c>
    </row>
    <row r="26" customFormat="false" ht="15" hidden="false" customHeight="false" outlineLevel="0" collapsed="false">
      <c r="B26" s="9"/>
    </row>
    <row r="27" customFormat="false" ht="15" hidden="false" customHeight="false" outlineLevel="0" collapsed="false">
      <c r="B27" s="9" t="s">
        <v>541</v>
      </c>
    </row>
    <row r="28" customFormat="false" ht="15" hidden="false" customHeight="false" outlineLevel="0" collapsed="false">
      <c r="B28" s="9" t="s">
        <v>542</v>
      </c>
    </row>
    <row r="29" customFormat="false" ht="15" hidden="false" customHeight="false" outlineLevel="0" collapsed="false">
      <c r="B29" s="9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20"/>
  </cols>
  <sheetData>
    <row r="2" customFormat="false" ht="17.35" hidden="false" customHeight="false" outlineLevel="0" collapsed="false">
      <c r="B2" s="1" t="s">
        <v>544</v>
      </c>
    </row>
    <row r="3" customFormat="false" ht="15" hidden="false" customHeight="false" outlineLevel="0" collapsed="false">
      <c r="B3" s="2" t="s">
        <v>545</v>
      </c>
    </row>
    <row r="4" customFormat="false" ht="15" hidden="false" customHeight="false" outlineLevel="0" collapsed="false">
      <c r="B4" s="2" t="s">
        <v>546</v>
      </c>
    </row>
    <row r="6" customFormat="false" ht="15" hidden="false" customHeight="false" outlineLevel="0" collapsed="false">
      <c r="B6" s="6" t="s">
        <v>547</v>
      </c>
      <c r="C6" s="6" t="s">
        <v>548</v>
      </c>
      <c r="D6" s="6" t="s">
        <v>549</v>
      </c>
      <c r="E6" s="6" t="s">
        <v>550</v>
      </c>
    </row>
    <row r="7" customFormat="false" ht="15" hidden="false" customHeight="false" outlineLevel="0" collapsed="false">
      <c r="B7" s="7" t="s">
        <v>551</v>
      </c>
      <c r="C7" s="7" t="s">
        <v>552</v>
      </c>
      <c r="D7" s="7" t="s">
        <v>553</v>
      </c>
      <c r="E7" s="7" t="s">
        <v>554</v>
      </c>
    </row>
    <row r="8" customFormat="false" ht="15" hidden="false" customHeight="false" outlineLevel="0" collapsed="false">
      <c r="B8" s="7" t="s">
        <v>551</v>
      </c>
      <c r="C8" s="7" t="s">
        <v>8</v>
      </c>
      <c r="D8" s="7" t="s">
        <v>553</v>
      </c>
      <c r="E8" s="7" t="s">
        <v>555</v>
      </c>
    </row>
    <row r="9" customFormat="false" ht="15" hidden="false" customHeight="false" outlineLevel="0" collapsed="false">
      <c r="B9" s="7" t="s">
        <v>551</v>
      </c>
      <c r="C9" s="7" t="s">
        <v>556</v>
      </c>
      <c r="D9" s="7" t="s">
        <v>553</v>
      </c>
      <c r="E9" s="7" t="s">
        <v>557</v>
      </c>
    </row>
    <row r="10" customFormat="false" ht="15" hidden="false" customHeight="false" outlineLevel="0" collapsed="false">
      <c r="B10" s="7" t="s">
        <v>551</v>
      </c>
      <c r="C10" s="7" t="s">
        <v>558</v>
      </c>
      <c r="D10" s="7" t="s">
        <v>553</v>
      </c>
      <c r="E10" s="7" t="s">
        <v>559</v>
      </c>
    </row>
    <row r="11" customFormat="false" ht="15" hidden="false" customHeight="false" outlineLevel="0" collapsed="false">
      <c r="B11" s="7" t="s">
        <v>551</v>
      </c>
      <c r="C11" s="7" t="s">
        <v>38</v>
      </c>
      <c r="D11" s="7" t="s">
        <v>553</v>
      </c>
      <c r="E11" s="7" t="s">
        <v>560</v>
      </c>
    </row>
    <row r="12" customFormat="false" ht="15" hidden="false" customHeight="false" outlineLevel="0" collapsed="false">
      <c r="B12" s="7" t="s">
        <v>561</v>
      </c>
      <c r="C12" s="7" t="s">
        <v>552</v>
      </c>
      <c r="D12" s="7" t="s">
        <v>562</v>
      </c>
      <c r="E12" s="7" t="s">
        <v>563</v>
      </c>
    </row>
    <row r="13" customFormat="false" ht="15" hidden="false" customHeight="false" outlineLevel="0" collapsed="false">
      <c r="B13" s="7" t="s">
        <v>561</v>
      </c>
      <c r="C13" s="7" t="s">
        <v>134</v>
      </c>
      <c r="D13" s="7" t="s">
        <v>562</v>
      </c>
      <c r="E13" s="7" t="s">
        <v>554</v>
      </c>
    </row>
    <row r="14" customFormat="false" ht="15" hidden="false" customHeight="false" outlineLevel="0" collapsed="false">
      <c r="B14" s="7" t="s">
        <v>561</v>
      </c>
      <c r="C14" s="7" t="s">
        <v>137</v>
      </c>
      <c r="D14" s="7" t="s">
        <v>562</v>
      </c>
      <c r="E14" s="7" t="s">
        <v>564</v>
      </c>
    </row>
    <row r="15" customFormat="false" ht="15" hidden="false" customHeight="false" outlineLevel="0" collapsed="false">
      <c r="B15" s="7" t="s">
        <v>561</v>
      </c>
      <c r="C15" s="7" t="s">
        <v>11</v>
      </c>
      <c r="D15" s="7" t="s">
        <v>562</v>
      </c>
      <c r="E15" s="7" t="s">
        <v>560</v>
      </c>
    </row>
    <row r="16" customFormat="false" ht="15" hidden="false" customHeight="false" outlineLevel="0" collapsed="false">
      <c r="B16" s="7" t="s">
        <v>561</v>
      </c>
      <c r="C16" s="7" t="s">
        <v>12</v>
      </c>
      <c r="D16" s="7" t="s">
        <v>562</v>
      </c>
      <c r="E16" s="7" t="s">
        <v>565</v>
      </c>
    </row>
    <row r="17" customFormat="false" ht="15" hidden="false" customHeight="false" outlineLevel="0" collapsed="false">
      <c r="B17" s="7" t="s">
        <v>566</v>
      </c>
      <c r="C17" s="7" t="s">
        <v>552</v>
      </c>
      <c r="D17" s="7" t="s">
        <v>567</v>
      </c>
      <c r="E17" s="7" t="s">
        <v>554</v>
      </c>
    </row>
    <row r="18" customFormat="false" ht="15" hidden="false" customHeight="false" outlineLevel="0" collapsed="false">
      <c r="B18" s="7" t="s">
        <v>566</v>
      </c>
      <c r="C18" s="7" t="s">
        <v>381</v>
      </c>
      <c r="D18" s="7" t="s">
        <v>567</v>
      </c>
      <c r="E18" s="7" t="s">
        <v>557</v>
      </c>
    </row>
    <row r="19" customFormat="false" ht="15" hidden="false" customHeight="false" outlineLevel="0" collapsed="false">
      <c r="B19" s="7" t="s">
        <v>566</v>
      </c>
      <c r="C19" s="7" t="s">
        <v>382</v>
      </c>
      <c r="D19" s="7" t="s">
        <v>567</v>
      </c>
      <c r="E19" s="7" t="s">
        <v>559</v>
      </c>
    </row>
    <row r="20" customFormat="false" ht="15" hidden="false" customHeight="false" outlineLevel="0" collapsed="false">
      <c r="B20" s="7" t="s">
        <v>566</v>
      </c>
      <c r="C20" s="7" t="s">
        <v>383</v>
      </c>
      <c r="D20" s="7" t="s">
        <v>567</v>
      </c>
      <c r="E20" s="7" t="s">
        <v>564</v>
      </c>
    </row>
    <row r="21" customFormat="false" ht="15" hidden="false" customHeight="false" outlineLevel="0" collapsed="false">
      <c r="B21" s="7" t="s">
        <v>566</v>
      </c>
      <c r="C21" s="7" t="s">
        <v>384</v>
      </c>
      <c r="D21" s="7" t="s">
        <v>567</v>
      </c>
      <c r="E21" s="7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0"/>
  </cols>
  <sheetData>
    <row r="2" customFormat="false" ht="17.35" hidden="false" customHeight="false" outlineLevel="0" collapsed="false">
      <c r="B2" s="1" t="s">
        <v>568</v>
      </c>
    </row>
    <row r="3" customFormat="false" ht="30" hidden="false" customHeight="true" outlineLevel="0" collapsed="false">
      <c r="B3" s="11" t="s">
        <v>569</v>
      </c>
    </row>
    <row r="5" customFormat="false" ht="15" hidden="false" customHeight="false" outlineLevel="0" collapsed="false">
      <c r="B5" s="3" t="s">
        <v>570</v>
      </c>
      <c r="C5" s="4" t="s">
        <v>551</v>
      </c>
    </row>
    <row r="7" customFormat="false" ht="15" hidden="false" customHeight="false" outlineLevel="0" collapsed="false">
      <c r="B7" s="5" t="s">
        <v>571</v>
      </c>
    </row>
    <row r="8" customFormat="false" ht="15" hidden="false" customHeight="true" outlineLevel="0" collapsed="false">
      <c r="B8" s="12" t="s">
        <v>572</v>
      </c>
      <c r="C8" s="12"/>
      <c r="D8" s="12"/>
      <c r="E8" s="12"/>
      <c r="F8" s="12"/>
      <c r="G8" s="12"/>
      <c r="H8" s="12"/>
    </row>
    <row r="9" customFormat="false" ht="15" hidden="false" customHeight="false" outlineLevel="0" collapsed="false">
      <c r="B9" s="12"/>
      <c r="C9" s="12"/>
      <c r="D9" s="12"/>
      <c r="E9" s="12"/>
      <c r="F9" s="12"/>
      <c r="G9" s="12"/>
      <c r="H9" s="12"/>
    </row>
    <row r="10" customFormat="false" ht="15" hidden="false" customHeight="false" outlineLevel="0" collapsed="false"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B11" s="12"/>
      <c r="C11" s="12"/>
      <c r="D11" s="12"/>
      <c r="E11" s="12"/>
      <c r="F11" s="12"/>
      <c r="G11" s="12"/>
      <c r="H11" s="12"/>
    </row>
    <row r="12" customFormat="false" ht="15" hidden="false" customHeight="false" outlineLevel="0" collapsed="false"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>
      <c r="B14" s="12"/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B16" s="12"/>
      <c r="C16" s="12"/>
      <c r="D16" s="12"/>
      <c r="E16" s="12"/>
      <c r="F16" s="12"/>
      <c r="G16" s="12"/>
      <c r="H16" s="12"/>
    </row>
    <row r="18" customFormat="false" ht="15" hidden="false" customHeight="false" outlineLevel="0" collapsed="false">
      <c r="B18" s="2" t="s">
        <v>573</v>
      </c>
    </row>
    <row r="20" customFormat="false" ht="15" hidden="false" customHeight="false" outlineLevel="0" collapsed="false">
      <c r="B20" s="6" t="s">
        <v>574</v>
      </c>
      <c r="C20" s="6" t="s">
        <v>575</v>
      </c>
      <c r="D20" s="6" t="s">
        <v>549</v>
      </c>
      <c r="E20" s="6" t="s">
        <v>576</v>
      </c>
      <c r="F20" s="6" t="s">
        <v>385</v>
      </c>
    </row>
    <row r="21" customFormat="false" ht="15" hidden="false" customHeight="false" outlineLevel="0" collapsed="false">
      <c r="B21" s="7" t="s">
        <v>552</v>
      </c>
      <c r="C21" s="7" t="s">
        <v>45</v>
      </c>
      <c r="D21" s="7" t="s">
        <v>553</v>
      </c>
      <c r="E21" s="7" t="s">
        <v>577</v>
      </c>
      <c r="F21" s="7" t="s">
        <v>578</v>
      </c>
    </row>
    <row r="22" customFormat="false" ht="15" hidden="false" customHeight="false" outlineLevel="0" collapsed="false">
      <c r="B22" s="7" t="s">
        <v>8</v>
      </c>
      <c r="C22" s="7" t="s">
        <v>46</v>
      </c>
      <c r="D22" s="7" t="s">
        <v>553</v>
      </c>
      <c r="E22" s="7" t="s">
        <v>579</v>
      </c>
      <c r="F22" s="7" t="s">
        <v>578</v>
      </c>
    </row>
    <row r="23" customFormat="false" ht="15" hidden="false" customHeight="false" outlineLevel="0" collapsed="false">
      <c r="B23" s="7" t="s">
        <v>556</v>
      </c>
      <c r="C23" s="7" t="s">
        <v>580</v>
      </c>
      <c r="D23" s="7" t="s">
        <v>553</v>
      </c>
      <c r="E23" s="7" t="s">
        <v>581</v>
      </c>
      <c r="F23" s="7" t="s">
        <v>578</v>
      </c>
    </row>
    <row r="24" customFormat="false" ht="15" hidden="false" customHeight="false" outlineLevel="0" collapsed="false">
      <c r="B24" s="7" t="s">
        <v>558</v>
      </c>
      <c r="C24" s="7" t="s">
        <v>582</v>
      </c>
      <c r="D24" s="7" t="s">
        <v>553</v>
      </c>
      <c r="E24" s="7" t="s">
        <v>583</v>
      </c>
      <c r="F24" s="7" t="s">
        <v>578</v>
      </c>
    </row>
    <row r="25" customFormat="false" ht="15" hidden="false" customHeight="false" outlineLevel="0" collapsed="false">
      <c r="B25" s="7" t="s">
        <v>38</v>
      </c>
      <c r="C25" s="7" t="s">
        <v>58</v>
      </c>
      <c r="D25" s="7" t="s">
        <v>553</v>
      </c>
      <c r="E25" s="7" t="s">
        <v>584</v>
      </c>
      <c r="F25" s="7" t="s">
        <v>578</v>
      </c>
    </row>
    <row r="27" customFormat="false" ht="15" hidden="false" customHeight="false" outlineLevel="0" collapsed="false">
      <c r="B27" s="2" t="s">
        <v>585</v>
      </c>
    </row>
  </sheetData>
  <mergeCells count="1">
    <mergeCell ref="B8:H16"/>
  </mergeCells>
  <dataValidations count="1">
    <dataValidation allowBlank="false" errorStyle="stop" operator="between" showDropDown="false" showErrorMessage="false" showInputMessage="false" sqref="C5" type="list">
      <formula1>"Catalog Spec Sheet,Registration Certificate,Incident Report"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2026-07-27T16:12:53Z</dcterms:created>
  <dc:creator>openpyxl</dc:creator>
  <dc:description/>
  <dc:language>en-US</dc:language>
  <cp:lastModifiedBy/>
  <dcterms:modified xsi:type="dcterms:W3CDTF">2026-07-27T16:12:53Z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