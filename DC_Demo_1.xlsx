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e" sheetId="1" state="visible" r:id="rId3"/>
    <sheet name="Read Me" sheetId="2" state="visible" r:id="rId4"/>
    <sheet name="Master Catalog" sheetId="3" state="visible" r:id="rId5"/>
    <sheet name="PBS" sheetId="4" state="visible" r:id="rId6"/>
    <sheet name="Country Registrations" sheetId="5" state="visible" r:id="rId7"/>
    <sheet name="Master RIL" sheetId="6" state="visible" r:id="rId8"/>
    <sheet name="RIL - Trellis" sheetId="7" state="visible" r:id="rId9"/>
    <sheet name="RIL - Voltix" sheetId="8" state="visible" r:id="rId10"/>
    <sheet name="RIL - Anchorix" sheetId="9" state="visible" r:id="rId11"/>
    <sheet name="RIL - Radiant" sheetId="10" state="visible" r:id="rId12"/>
    <sheet name="RIL - Corvid" sheetId="11" state="visible" r:id="rId13"/>
    <sheet name="Maintenance Procedure" sheetId="12" state="visible" r:id="rId14"/>
    <sheet name="Field Mapping" sheetId="13" state="visible" r:id="rId15"/>
    <sheet name="Paste &amp; Parse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<sst xmlns="http://schemas.openxmlformats.org/spreadsheetml/2006/main" count="4232" uniqueCount="1201">
  <si>
    <t xml:space="preserve">Registration &amp; Incident Selector</t>
  </si>
  <si>
    <t xml:space="preserve">Pick a Country and a System below — the table auto-updates via formula lookups.</t>
  </si>
  <si>
    <t xml:space="preserve">Country:</t>
  </si>
  <si>
    <t xml:space="preserve">USA</t>
  </si>
  <si>
    <t xml:space="preserve">System:</t>
  </si>
  <si>
    <t xml:space="preserve">Trellis Forearm System</t>
  </si>
  <si>
    <t xml:space="preserve">Matching catalog items for the selected System:</t>
  </si>
  <si>
    <t xml:space="preserve">Catalog #</t>
  </si>
  <si>
    <t xml:space="preserve">Description</t>
  </si>
  <si>
    <t xml:space="preserve">Registration Name</t>
  </si>
  <si>
    <t xml:space="preserve">Registration #</t>
  </si>
  <si>
    <t xml:space="preserve">Approval Date</t>
  </si>
  <si>
    <t xml:space="preserve">Expiration Date</t>
  </si>
  <si>
    <t xml:space="preserve">Open incidents (Under Investigation) for selected System:</t>
  </si>
  <si>
    <t xml:space="preserve">Mental Schematics — Multi-Country / Multi-System Registration &amp; Incident Tracker</t>
  </si>
  <si>
    <t xml:space="preserve">Sample company — Mental Schematics is not a real business.</t>
  </si>
  <si>
    <t xml:space="preserve">All countries, systems, part numbers, registrations, and incidents below are fictional.</t>
  </si>
  <si>
    <t xml:space="preserve">What this workbook demonstrates:</t>
  </si>
  <si>
    <t xml:space="preserve">  • A single maintained workbook standing in for what would otherwise be a spreadsheet</t>
  </si>
  <si>
    <t xml:space="preserve">    per country/system combination (here: 5 countries x 5 systems = 25 combinations).</t>
  </si>
  <si>
    <t xml:space="preserve">  • A Home sheet where you pick a Country and a System from dropdowns, and the relevant</t>
  </si>
  <si>
    <t xml:space="preserve">    catalog, registration, and incident data is pulled in automatically via formulas.</t>
  </si>
  <si>
    <t xml:space="preserve">  • A consistent maintenance procedure for adding a new country or a new system without</t>
  </si>
  <si>
    <t xml:space="preserve">    restructuring existing sheets (see 'Maintenance Procedure' tab).</t>
  </si>
  <si>
    <t xml:space="preserve">Sheets:</t>
  </si>
  <si>
    <t xml:space="preserve">  Home                - country/system selector + auto-populated summary</t>
  </si>
  <si>
    <t xml:space="preserve">  Master Catalog       - every catalog item across all systems</t>
  </si>
  <si>
    <t xml:space="preserve">  PBS                  - which catalog items belong to which system</t>
  </si>
  <si>
    <t xml:space="preserve">  Country Registrations - registration record per catalog item, per country</t>
  </si>
  <si>
    <t xml:space="preserve">  Master RIL            - full incident log across all systems</t>
  </si>
  <si>
    <t xml:space="preserve">  RIL - &lt;System name&gt;   - per-system incident log (one tab per system)</t>
  </si>
  <si>
    <t xml:space="preserve">  Maintenance Procedure - the SOP for keeping this structure up to date</t>
  </si>
  <si>
    <t xml:space="preserve">  VBA Macro (optional)  - importable macro code that reproduces the original</t>
  </si>
  <si>
    <t xml:space="preserve">                          pop-up country/system selector, for use in Excel desktop</t>
  </si>
  <si>
    <t xml:space="preserve">Item Category</t>
  </si>
  <si>
    <t xml:space="preserve">UDI Number</t>
  </si>
  <si>
    <t xml:space="preserve">Part Drawing #</t>
  </si>
  <si>
    <t xml:space="preserve">IFU #</t>
  </si>
  <si>
    <t xml:space="preserve">Material</t>
  </si>
  <si>
    <t xml:space="preserve">Sterile?</t>
  </si>
  <si>
    <t xml:space="preserve">Active?</t>
  </si>
  <si>
    <t xml:space="preserve">System</t>
  </si>
  <si>
    <t xml:space="preserve">System Seq</t>
  </si>
  <si>
    <t xml:space="preserve">Key (System|Seq)</t>
  </si>
  <si>
    <t xml:space="preserve">Implant Screw</t>
  </si>
  <si>
    <t xml:space="preserve">TRL-110-1</t>
  </si>
  <si>
    <t xml:space="preserve">Screw, 2.4mm x 24mm, Trellis family</t>
  </si>
  <si>
    <t xml:space="preserve">008395310485</t>
  </si>
  <si>
    <t xml:space="preserve">DRW-42098-01</t>
  </si>
  <si>
    <t xml:space="preserve">IFU-4657-00</t>
  </si>
  <si>
    <t xml:space="preserve">CoCr Alloy</t>
  </si>
  <si>
    <t xml:space="preserve">Y</t>
  </si>
  <si>
    <t xml:space="preserve">Instrument</t>
  </si>
  <si>
    <t xml:space="preserve">TRL-120-2</t>
  </si>
  <si>
    <t xml:space="preserve">Instrument, 2.4mm x 10mm, Trellis family</t>
  </si>
  <si>
    <t xml:space="preserve">008200604502</t>
  </si>
  <si>
    <t xml:space="preserve">DRW-38657-02</t>
  </si>
  <si>
    <t xml:space="preserve">IFU-4811-00</t>
  </si>
  <si>
    <t xml:space="preserve">Ti 6Al-4V ELI</t>
  </si>
  <si>
    <t xml:space="preserve">N</t>
  </si>
  <si>
    <t xml:space="preserve">Implant Plate</t>
  </si>
  <si>
    <t xml:space="preserve">TRL-130-3</t>
  </si>
  <si>
    <t xml:space="preserve">Plate, 4.0mm x 20mm, Trellis family</t>
  </si>
  <si>
    <t xml:space="preserve">008398704996</t>
  </si>
  <si>
    <t xml:space="preserve">DRW-10851-03</t>
  </si>
  <si>
    <t xml:space="preserve">IFU-3615-00</t>
  </si>
  <si>
    <t xml:space="preserve">PEEK</t>
  </si>
  <si>
    <t xml:space="preserve">TRL-140-4</t>
  </si>
  <si>
    <t xml:space="preserve">Plate, 2.7mm x 14mm, Trellis family</t>
  </si>
  <si>
    <t xml:space="preserve">008209747451</t>
  </si>
  <si>
    <t xml:space="preserve">DRW-22156-04</t>
  </si>
  <si>
    <t xml:space="preserve">IFU-7224-00</t>
  </si>
  <si>
    <t xml:space="preserve">Implant Other</t>
  </si>
  <si>
    <t xml:space="preserve">TRL-150-5</t>
  </si>
  <si>
    <t xml:space="preserve">Other, 2.4mm x 24mm, Trellis family</t>
  </si>
  <si>
    <t xml:space="preserve">008593303705</t>
  </si>
  <si>
    <t xml:space="preserve">DRW-80284-05</t>
  </si>
  <si>
    <t xml:space="preserve">IFU-3045-00</t>
  </si>
  <si>
    <t xml:space="preserve">TRL-160-6</t>
  </si>
  <si>
    <t xml:space="preserve">Other, 4.5mm x 12mm, Trellis family</t>
  </si>
  <si>
    <t xml:space="preserve">008856528252</t>
  </si>
  <si>
    <t xml:space="preserve">DRW-19116-06</t>
  </si>
  <si>
    <t xml:space="preserve">IFU-1750-00</t>
  </si>
  <si>
    <t xml:space="preserve">TRL-170-7</t>
  </si>
  <si>
    <t xml:space="preserve">Plate, 2.4mm x 16mm, Trellis family</t>
  </si>
  <si>
    <t xml:space="preserve">008398471886</t>
  </si>
  <si>
    <t xml:space="preserve">DRW-69429-07</t>
  </si>
  <si>
    <t xml:space="preserve">IFU-6977-00</t>
  </si>
  <si>
    <t xml:space="preserve">TRL-180-8</t>
  </si>
  <si>
    <t xml:space="preserve">Plate, 3.5mm x 24mm, Trellis family</t>
  </si>
  <si>
    <t xml:space="preserve">008833953718</t>
  </si>
  <si>
    <t xml:space="preserve">DRW-94939-08</t>
  </si>
  <si>
    <t xml:space="preserve">IFU-2169-00</t>
  </si>
  <si>
    <t xml:space="preserve">VLX-110-1</t>
  </si>
  <si>
    <t xml:space="preserve">Instrument, 4.0mm x 14mm, Voltix family</t>
  </si>
  <si>
    <t xml:space="preserve">008787194506</t>
  </si>
  <si>
    <t xml:space="preserve">DRW-83000-01</t>
  </si>
  <si>
    <t xml:space="preserve">IFU-4598-00</t>
  </si>
  <si>
    <t xml:space="preserve">316L Stainless</t>
  </si>
  <si>
    <t xml:space="preserve">Voltix Plating System</t>
  </si>
  <si>
    <t xml:space="preserve">VLX-120-2</t>
  </si>
  <si>
    <t xml:space="preserve">Screw, 3.5mm x 16mm, Voltix family</t>
  </si>
  <si>
    <t xml:space="preserve">008387484583</t>
  </si>
  <si>
    <t xml:space="preserve">DRW-18675-02</t>
  </si>
  <si>
    <t xml:space="preserve">IFU-4456-00</t>
  </si>
  <si>
    <t xml:space="preserve">VLX-130-3</t>
  </si>
  <si>
    <t xml:space="preserve">Instrument, 4.0mm x 12mm, Voltix family</t>
  </si>
  <si>
    <t xml:space="preserve">008384412919</t>
  </si>
  <si>
    <t xml:space="preserve">DRW-28301-03</t>
  </si>
  <si>
    <t xml:space="preserve">IFU-5040-00</t>
  </si>
  <si>
    <t xml:space="preserve">VLX-140-4</t>
  </si>
  <si>
    <t xml:space="preserve">Other, 2.7mm x 12mm, Voltix family</t>
  </si>
  <si>
    <t xml:space="preserve">008647099690</t>
  </si>
  <si>
    <t xml:space="preserve">DRW-74686-04</t>
  </si>
  <si>
    <t xml:space="preserve">IFU-2489-00</t>
  </si>
  <si>
    <t xml:space="preserve">VLX-150-5</t>
  </si>
  <si>
    <t xml:space="preserve">Plate, 4.0mm x 20mm, Voltix family</t>
  </si>
  <si>
    <t xml:space="preserve">008168212356</t>
  </si>
  <si>
    <t xml:space="preserve">DRW-60432-05</t>
  </si>
  <si>
    <t xml:space="preserve">IFU-7252-00</t>
  </si>
  <si>
    <t xml:space="preserve">VLX-160-6</t>
  </si>
  <si>
    <t xml:space="preserve">Screw, 4.5mm x 14mm, Voltix family</t>
  </si>
  <si>
    <t xml:space="preserve">008925276600</t>
  </si>
  <si>
    <t xml:space="preserve">DRW-94012-06</t>
  </si>
  <si>
    <t xml:space="preserve">IFU-6573-00</t>
  </si>
  <si>
    <t xml:space="preserve">VLX-170-7</t>
  </si>
  <si>
    <t xml:space="preserve">Plate, 4.0mm x 10mm, Voltix family</t>
  </si>
  <si>
    <t xml:space="preserve">008875340444</t>
  </si>
  <si>
    <t xml:space="preserve">DRW-44522-07</t>
  </si>
  <si>
    <t xml:space="preserve">IFU-9201-00</t>
  </si>
  <si>
    <t xml:space="preserve">VLX-180-8</t>
  </si>
  <si>
    <t xml:space="preserve">Plate, 2.7mm x 14mm, Voltix family</t>
  </si>
  <si>
    <t xml:space="preserve">008918739736</t>
  </si>
  <si>
    <t xml:space="preserve">DRW-31174-08</t>
  </si>
  <si>
    <t xml:space="preserve">IFU-9837-00</t>
  </si>
  <si>
    <t xml:space="preserve">ANX-110-1</t>
  </si>
  <si>
    <t xml:space="preserve">Screw, 2.4mm x 14mm, Anchorix family</t>
  </si>
  <si>
    <t xml:space="preserve">008992994062</t>
  </si>
  <si>
    <t xml:space="preserve">DRW-50306-01</t>
  </si>
  <si>
    <t xml:space="preserve">IFU-4923-00</t>
  </si>
  <si>
    <t xml:space="preserve">Anchorix Suture System</t>
  </si>
  <si>
    <t xml:space="preserve">ANX-120-2</t>
  </si>
  <si>
    <t xml:space="preserve">Screw, 4.0mm x 10mm, Anchorix family</t>
  </si>
  <si>
    <t xml:space="preserve">008916690353</t>
  </si>
  <si>
    <t xml:space="preserve">DRW-79822-02</t>
  </si>
  <si>
    <t xml:space="preserve">IFU-3060-00</t>
  </si>
  <si>
    <t xml:space="preserve">ANX-130-3</t>
  </si>
  <si>
    <t xml:space="preserve">Other, 4.5mm x 20mm, Anchorix family</t>
  </si>
  <si>
    <t xml:space="preserve">008554340903</t>
  </si>
  <si>
    <t xml:space="preserve">DRW-37760-03</t>
  </si>
  <si>
    <t xml:space="preserve">IFU-9835-00</t>
  </si>
  <si>
    <t xml:space="preserve">ANX-140-4</t>
  </si>
  <si>
    <t xml:space="preserve">Other, 4.0mm x 20mm, Anchorix family</t>
  </si>
  <si>
    <t xml:space="preserve">008584779555</t>
  </si>
  <si>
    <t xml:space="preserve">DRW-25860-04</t>
  </si>
  <si>
    <t xml:space="preserve">IFU-5061-00</t>
  </si>
  <si>
    <t xml:space="preserve">ANX-150-5</t>
  </si>
  <si>
    <t xml:space="preserve">Screw, 4.5mm x 20mm, Anchorix family</t>
  </si>
  <si>
    <t xml:space="preserve">008347083812</t>
  </si>
  <si>
    <t xml:space="preserve">DRW-87128-05</t>
  </si>
  <si>
    <t xml:space="preserve">IFU-4608-00</t>
  </si>
  <si>
    <t xml:space="preserve">ANX-160-6</t>
  </si>
  <si>
    <t xml:space="preserve">Plate, 2.4mm x 10mm, Anchorix family</t>
  </si>
  <si>
    <t xml:space="preserve">008454794895</t>
  </si>
  <si>
    <t xml:space="preserve">DRW-19287-06</t>
  </si>
  <si>
    <t xml:space="preserve">IFU-9423-00</t>
  </si>
  <si>
    <t xml:space="preserve">ANX-170-7</t>
  </si>
  <si>
    <t xml:space="preserve">Plate, 4.5mm x 12mm, Anchorix family</t>
  </si>
  <si>
    <t xml:space="preserve">008876693898</t>
  </si>
  <si>
    <t xml:space="preserve">DRW-84847-07</t>
  </si>
  <si>
    <t xml:space="preserve">IFU-8744-00</t>
  </si>
  <si>
    <t xml:space="preserve">ANX-180-8</t>
  </si>
  <si>
    <t xml:space="preserve">008807577342</t>
  </si>
  <si>
    <t xml:space="preserve">DRW-66498-08</t>
  </si>
  <si>
    <t xml:space="preserve">IFU-6804-00</t>
  </si>
  <si>
    <t xml:space="preserve">RAD-110-1</t>
  </si>
  <si>
    <t xml:space="preserve">Screw, 2.4mm x 10mm, Radiant family</t>
  </si>
  <si>
    <t xml:space="preserve">008532311310</t>
  </si>
  <si>
    <t xml:space="preserve">DRW-54473-01</t>
  </si>
  <si>
    <t xml:space="preserve">IFU-2790-00</t>
  </si>
  <si>
    <t xml:space="preserve">Radiant Nail System</t>
  </si>
  <si>
    <t xml:space="preserve">RAD-120-2</t>
  </si>
  <si>
    <t xml:space="preserve">Instrument, 2.7mm x 16mm, Radiant family</t>
  </si>
  <si>
    <t xml:space="preserve">008297018781</t>
  </si>
  <si>
    <t xml:space="preserve">DRW-46509-02</t>
  </si>
  <si>
    <t xml:space="preserve">IFU-8579-00</t>
  </si>
  <si>
    <t xml:space="preserve">RAD-130-3</t>
  </si>
  <si>
    <t xml:space="preserve">Screw, 2.4mm x 24mm, Radiant family</t>
  </si>
  <si>
    <t xml:space="preserve">008680451872</t>
  </si>
  <si>
    <t xml:space="preserve">DRW-11934-03</t>
  </si>
  <si>
    <t xml:space="preserve">IFU-2528-00</t>
  </si>
  <si>
    <t xml:space="preserve">RAD-140-4</t>
  </si>
  <si>
    <t xml:space="preserve">Instrument, 4.0mm x 12mm, Radiant family</t>
  </si>
  <si>
    <t xml:space="preserve">008530613729</t>
  </si>
  <si>
    <t xml:space="preserve">DRW-17685-04</t>
  </si>
  <si>
    <t xml:space="preserve">IFU-3697-00</t>
  </si>
  <si>
    <t xml:space="preserve">RAD-150-5</t>
  </si>
  <si>
    <t xml:space="preserve">Other, 4.0mm x 14mm, Radiant family</t>
  </si>
  <si>
    <t xml:space="preserve">008554200826</t>
  </si>
  <si>
    <t xml:space="preserve">DRW-82845-05</t>
  </si>
  <si>
    <t xml:space="preserve">IFU-8973-00</t>
  </si>
  <si>
    <t xml:space="preserve">RAD-160-6</t>
  </si>
  <si>
    <t xml:space="preserve">Plate, 2.4mm x 20mm, Radiant family</t>
  </si>
  <si>
    <t xml:space="preserve">008889991777</t>
  </si>
  <si>
    <t xml:space="preserve">DRW-81066-06</t>
  </si>
  <si>
    <t xml:space="preserve">IFU-1998-00</t>
  </si>
  <si>
    <t xml:space="preserve">RAD-170-7</t>
  </si>
  <si>
    <t xml:space="preserve">Instrument, 4.5mm x 20mm, Radiant family</t>
  </si>
  <si>
    <t xml:space="preserve">008269042105</t>
  </si>
  <si>
    <t xml:space="preserve">DRW-17455-07</t>
  </si>
  <si>
    <t xml:space="preserve">IFU-9320-00</t>
  </si>
  <si>
    <t xml:space="preserve">RAD-180-8</t>
  </si>
  <si>
    <t xml:space="preserve">Screw, 2.7mm x 16mm, Radiant family</t>
  </si>
  <si>
    <t xml:space="preserve">008228727266</t>
  </si>
  <si>
    <t xml:space="preserve">DRW-84668-08</t>
  </si>
  <si>
    <t xml:space="preserve">IFU-5033-00</t>
  </si>
  <si>
    <t xml:space="preserve">CVD-110-1</t>
  </si>
  <si>
    <t xml:space="preserve">Other, 3.5mm x 12mm, Corvid family</t>
  </si>
  <si>
    <t xml:space="preserve">008819112790</t>
  </si>
  <si>
    <t xml:space="preserve">DRW-51180-01</t>
  </si>
  <si>
    <t xml:space="preserve">IFU-4910-00</t>
  </si>
  <si>
    <t xml:space="preserve">Corvid Fragment System</t>
  </si>
  <si>
    <t xml:space="preserve">CVD-120-2</t>
  </si>
  <si>
    <t xml:space="preserve">Other, 4.0mm x 14mm, Corvid family</t>
  </si>
  <si>
    <t xml:space="preserve">008907308348</t>
  </si>
  <si>
    <t xml:space="preserve">DRW-19508-02</t>
  </si>
  <si>
    <t xml:space="preserve">IFU-1152-00</t>
  </si>
  <si>
    <t xml:space="preserve">CVD-130-3</t>
  </si>
  <si>
    <t xml:space="preserve">Plate, 4.5mm x 14mm, Corvid family</t>
  </si>
  <si>
    <t xml:space="preserve">008242224154</t>
  </si>
  <si>
    <t xml:space="preserve">DRW-55745-03</t>
  </si>
  <si>
    <t xml:space="preserve">IFU-2127-00</t>
  </si>
  <si>
    <t xml:space="preserve">CVD-140-4</t>
  </si>
  <si>
    <t xml:space="preserve">Plate, 4.0mm x 20mm, Corvid family</t>
  </si>
  <si>
    <t xml:space="preserve">008855420240</t>
  </si>
  <si>
    <t xml:space="preserve">DRW-49651-04</t>
  </si>
  <si>
    <t xml:space="preserve">IFU-9666-00</t>
  </si>
  <si>
    <t xml:space="preserve">CVD-150-5</t>
  </si>
  <si>
    <t xml:space="preserve">Plate, 3.5mm x 10mm, Corvid family</t>
  </si>
  <si>
    <t xml:space="preserve">008214929002</t>
  </si>
  <si>
    <t xml:space="preserve">DRW-82512-05</t>
  </si>
  <si>
    <t xml:space="preserve">IFU-3546-00</t>
  </si>
  <si>
    <t xml:space="preserve">CVD-160-6</t>
  </si>
  <si>
    <t xml:space="preserve">Other, 2.7mm x 24mm, Corvid family</t>
  </si>
  <si>
    <t xml:space="preserve">008781007818</t>
  </si>
  <si>
    <t xml:space="preserve">DRW-44600-06</t>
  </si>
  <si>
    <t xml:space="preserve">IFU-9280-00</t>
  </si>
  <si>
    <t xml:space="preserve">CVD-170-7</t>
  </si>
  <si>
    <t xml:space="preserve">Screw, 4.0mm x 14mm, Corvid family</t>
  </si>
  <si>
    <t xml:space="preserve">008147337803</t>
  </si>
  <si>
    <t xml:space="preserve">DRW-10464-07</t>
  </si>
  <si>
    <t xml:space="preserve">IFU-6464-00</t>
  </si>
  <si>
    <t xml:space="preserve">CVD-180-8</t>
  </si>
  <si>
    <t xml:space="preserve">Instrument, 4.5mm x 24mm, Corvid family</t>
  </si>
  <si>
    <t xml:space="preserve">008559225330</t>
  </si>
  <si>
    <t xml:space="preserve">DRW-83519-08</t>
  </si>
  <si>
    <t xml:space="preserve">IFU-1158-00</t>
  </si>
  <si>
    <t xml:space="preserve">✔</t>
  </si>
  <si>
    <t xml:space="preserve">Country</t>
  </si>
  <si>
    <t xml:space="preserve">Country Class</t>
  </si>
  <si>
    <t xml:space="preserve">Country Rule</t>
  </si>
  <si>
    <t xml:space="preserve">Registration Number</t>
  </si>
  <si>
    <t xml:space="preserve">Key (Country|Catalog#)</t>
  </si>
  <si>
    <t xml:space="preserve">IIa</t>
  </si>
  <si>
    <t xml:space="preserve">Trellis Forearm System - USA Registration</t>
  </si>
  <si>
    <t xml:space="preserve">K109444</t>
  </si>
  <si>
    <t xml:space="preserve">05/01/2019</t>
  </si>
  <si>
    <t xml:space="preserve">N/A</t>
  </si>
  <si>
    <t xml:space="preserve">Germany</t>
  </si>
  <si>
    <t xml:space="preserve">I</t>
  </si>
  <si>
    <t xml:space="preserve">Trellis Forearm System - Germany Registration</t>
  </si>
  <si>
    <t xml:space="preserve">DE-CE-6050</t>
  </si>
  <si>
    <t xml:space="preserve">07/11/2019</t>
  </si>
  <si>
    <t xml:space="preserve">08/11/2024</t>
  </si>
  <si>
    <t xml:space="preserve">Brazil</t>
  </si>
  <si>
    <t xml:space="preserve">III</t>
  </si>
  <si>
    <t xml:space="preserve">Trellis Forearm System - Brazil Registration</t>
  </si>
  <si>
    <t xml:space="preserve">ANVISA-23473</t>
  </si>
  <si>
    <t xml:space="preserve">08/03/2019</t>
  </si>
  <si>
    <t xml:space="preserve">26/03/2024</t>
  </si>
  <si>
    <t xml:space="preserve">Japan</t>
  </si>
  <si>
    <t xml:space="preserve">Trellis Forearm System - Japan Registration</t>
  </si>
  <si>
    <t xml:space="preserve">PMDA-532322</t>
  </si>
  <si>
    <t xml:space="preserve">26/07/2014</t>
  </si>
  <si>
    <t xml:space="preserve">26/11/2019</t>
  </si>
  <si>
    <t xml:space="preserve">Australia</t>
  </si>
  <si>
    <t xml:space="preserve">Trellis Forearm System - Australia Registration</t>
  </si>
  <si>
    <t xml:space="preserve">ARTG-230111</t>
  </si>
  <si>
    <t xml:space="preserve">13/01/2018</t>
  </si>
  <si>
    <t xml:space="preserve">28/08/2023</t>
  </si>
  <si>
    <t xml:space="preserve">K158309</t>
  </si>
  <si>
    <t xml:space="preserve">10/04/2017</t>
  </si>
  <si>
    <t xml:space="preserve">DE-CE-4652</t>
  </si>
  <si>
    <t xml:space="preserve">11/05/2014</t>
  </si>
  <si>
    <t xml:space="preserve">28/02/2019</t>
  </si>
  <si>
    <t xml:space="preserve">ANVISA-46585</t>
  </si>
  <si>
    <t xml:space="preserve">01/02/2019</t>
  </si>
  <si>
    <t xml:space="preserve">09/03/2024</t>
  </si>
  <si>
    <t xml:space="preserve">PMDA-708792</t>
  </si>
  <si>
    <t xml:space="preserve">20/07/2018</t>
  </si>
  <si>
    <t xml:space="preserve">12/12/2023</t>
  </si>
  <si>
    <t xml:space="preserve">ARTG-264457</t>
  </si>
  <si>
    <t xml:space="preserve">19/04/2020</t>
  </si>
  <si>
    <t xml:space="preserve">09/01/2025</t>
  </si>
  <si>
    <t xml:space="preserve">K214309</t>
  </si>
  <si>
    <t xml:space="preserve">14/02/2014</t>
  </si>
  <si>
    <t xml:space="preserve">IIb</t>
  </si>
  <si>
    <t xml:space="preserve">DE-CE-6409</t>
  </si>
  <si>
    <t xml:space="preserve">24/05/2023</t>
  </si>
  <si>
    <t xml:space="preserve">17/05/2028</t>
  </si>
  <si>
    <t xml:space="preserve">ANVISA-97410</t>
  </si>
  <si>
    <t xml:space="preserve">23/05/2020</t>
  </si>
  <si>
    <t xml:space="preserve">18/03/2025</t>
  </si>
  <si>
    <t xml:space="preserve">PMDA-301158</t>
  </si>
  <si>
    <t xml:space="preserve">20/10/2020</t>
  </si>
  <si>
    <t xml:space="preserve">10/07/2025</t>
  </si>
  <si>
    <t xml:space="preserve">ARTG-387276</t>
  </si>
  <si>
    <t xml:space="preserve">07/07/2014</t>
  </si>
  <si>
    <t xml:space="preserve">26/10/2019</t>
  </si>
  <si>
    <t xml:space="preserve">K184475</t>
  </si>
  <si>
    <t xml:space="preserve">22/04/2021</t>
  </si>
  <si>
    <t xml:space="preserve">DE-CE-9375</t>
  </si>
  <si>
    <t xml:space="preserve">10/09/2021</t>
  </si>
  <si>
    <t xml:space="preserve">22/11/2026</t>
  </si>
  <si>
    <t xml:space="preserve">ANVISA-91167</t>
  </si>
  <si>
    <t xml:space="preserve">22/05/2019</t>
  </si>
  <si>
    <t xml:space="preserve">08/04/2024</t>
  </si>
  <si>
    <t xml:space="preserve">PMDA-254511</t>
  </si>
  <si>
    <t xml:space="preserve">16/10/2014</t>
  </si>
  <si>
    <t xml:space="preserve">ARTG-338769</t>
  </si>
  <si>
    <t xml:space="preserve">16/07/2020</t>
  </si>
  <si>
    <t xml:space="preserve">08/03/2025</t>
  </si>
  <si>
    <t xml:space="preserve">K101453</t>
  </si>
  <si>
    <t xml:space="preserve">06/12/2015</t>
  </si>
  <si>
    <t xml:space="preserve">DE-CE-9486</t>
  </si>
  <si>
    <t xml:space="preserve">28/02/2021</t>
  </si>
  <si>
    <t xml:space="preserve">15/03/2026</t>
  </si>
  <si>
    <t xml:space="preserve">ANVISA-70901</t>
  </si>
  <si>
    <t xml:space="preserve">20/12/2022</t>
  </si>
  <si>
    <t xml:space="preserve">17/07/2027</t>
  </si>
  <si>
    <t xml:space="preserve">PMDA-970914</t>
  </si>
  <si>
    <t xml:space="preserve">24/08/2022</t>
  </si>
  <si>
    <t xml:space="preserve">15/05/2027</t>
  </si>
  <si>
    <t xml:space="preserve">ARTG-229624</t>
  </si>
  <si>
    <t xml:space="preserve">09/08/2018</t>
  </si>
  <si>
    <t xml:space="preserve">03/12/2023</t>
  </si>
  <si>
    <t xml:space="preserve">K174901</t>
  </si>
  <si>
    <t xml:space="preserve">11/09/2017</t>
  </si>
  <si>
    <t xml:space="preserve">DE-CE-2320</t>
  </si>
  <si>
    <t xml:space="preserve">13/12/2016</t>
  </si>
  <si>
    <t xml:space="preserve">05/12/2021</t>
  </si>
  <si>
    <t xml:space="preserve">ANVISA-38043</t>
  </si>
  <si>
    <t xml:space="preserve">11/09/2015</t>
  </si>
  <si>
    <t xml:space="preserve">15/07/2020</t>
  </si>
  <si>
    <t xml:space="preserve">PMDA-165290</t>
  </si>
  <si>
    <t xml:space="preserve">25/10/2017</t>
  </si>
  <si>
    <t xml:space="preserve">23/01/2022</t>
  </si>
  <si>
    <t xml:space="preserve">ARTG-299429</t>
  </si>
  <si>
    <t xml:space="preserve">10/07/2021</t>
  </si>
  <si>
    <t xml:space="preserve">28/07/2026</t>
  </si>
  <si>
    <t xml:space="preserve">K157812</t>
  </si>
  <si>
    <t xml:space="preserve">14/08/2021</t>
  </si>
  <si>
    <t xml:space="preserve">DE-CE-1475</t>
  </si>
  <si>
    <t xml:space="preserve">24/03/2020</t>
  </si>
  <si>
    <t xml:space="preserve">27/08/2025</t>
  </si>
  <si>
    <t xml:space="preserve">ANVISA-26728</t>
  </si>
  <si>
    <t xml:space="preserve">19/10/2023</t>
  </si>
  <si>
    <t xml:space="preserve">22/01/2028</t>
  </si>
  <si>
    <t xml:space="preserve">PMDA-188025</t>
  </si>
  <si>
    <t xml:space="preserve">06/01/2020</t>
  </si>
  <si>
    <t xml:space="preserve">09/07/2025</t>
  </si>
  <si>
    <t xml:space="preserve">ARTG-271627</t>
  </si>
  <si>
    <t xml:space="preserve">11/07/2017</t>
  </si>
  <si>
    <t xml:space="preserve">09/07/2022</t>
  </si>
  <si>
    <t xml:space="preserve">K166131</t>
  </si>
  <si>
    <t xml:space="preserve">24/09/2015</t>
  </si>
  <si>
    <t xml:space="preserve">DE-CE-1853</t>
  </si>
  <si>
    <t xml:space="preserve">25/11/2019</t>
  </si>
  <si>
    <t xml:space="preserve">02/01/2024</t>
  </si>
  <si>
    <t xml:space="preserve">ANVISA-42411</t>
  </si>
  <si>
    <t xml:space="preserve">08/03/2017</t>
  </si>
  <si>
    <t xml:space="preserve">16/11/2022</t>
  </si>
  <si>
    <t xml:space="preserve">PMDA-219946</t>
  </si>
  <si>
    <t xml:space="preserve">23/05/2023</t>
  </si>
  <si>
    <t xml:space="preserve">25/06/2028</t>
  </si>
  <si>
    <t xml:space="preserve">ARTG-187969</t>
  </si>
  <si>
    <t xml:space="preserve">10/02/2023</t>
  </si>
  <si>
    <t xml:space="preserve">19/01/2028</t>
  </si>
  <si>
    <t xml:space="preserve">Voltix Plating System - USA Registration</t>
  </si>
  <si>
    <t xml:space="preserve">K181777</t>
  </si>
  <si>
    <t xml:space="preserve">23/04/2023</t>
  </si>
  <si>
    <t xml:space="preserve">Voltix Plating System - Germany Registration</t>
  </si>
  <si>
    <t xml:space="preserve">DE-CE-2245</t>
  </si>
  <si>
    <t xml:space="preserve">28/11/2028</t>
  </si>
  <si>
    <t xml:space="preserve">Voltix Plating System - Brazil Registration</t>
  </si>
  <si>
    <t xml:space="preserve">ANVISA-88697</t>
  </si>
  <si>
    <t xml:space="preserve">18/07/2015</t>
  </si>
  <si>
    <t xml:space="preserve">22/06/2020</t>
  </si>
  <si>
    <t xml:space="preserve">Voltix Plating System - Japan Registration</t>
  </si>
  <si>
    <t xml:space="preserve">PMDA-172306</t>
  </si>
  <si>
    <t xml:space="preserve">28/07/2022</t>
  </si>
  <si>
    <t xml:space="preserve">27/08/2027</t>
  </si>
  <si>
    <t xml:space="preserve">Voltix Plating System - Australia Registration</t>
  </si>
  <si>
    <t xml:space="preserve">ARTG-155332</t>
  </si>
  <si>
    <t xml:space="preserve">23/03/2020</t>
  </si>
  <si>
    <t xml:space="preserve">14/03/2025</t>
  </si>
  <si>
    <t xml:space="preserve">K236772</t>
  </si>
  <si>
    <t xml:space="preserve">14/12/2018</t>
  </si>
  <si>
    <t xml:space="preserve">DE-CE-5397</t>
  </si>
  <si>
    <t xml:space="preserve">09/08/2019</t>
  </si>
  <si>
    <t xml:space="preserve">08/08/2024</t>
  </si>
  <si>
    <t xml:space="preserve">ANVISA-84691</t>
  </si>
  <si>
    <t xml:space="preserve">01/08/2023</t>
  </si>
  <si>
    <t xml:space="preserve">28/06/2028</t>
  </si>
  <si>
    <t xml:space="preserve">PMDA-290672</t>
  </si>
  <si>
    <t xml:space="preserve">26/05/2021</t>
  </si>
  <si>
    <t xml:space="preserve">11/05/2026</t>
  </si>
  <si>
    <t xml:space="preserve">ARTG-244844</t>
  </si>
  <si>
    <t xml:space="preserve">03/04/2022</t>
  </si>
  <si>
    <t xml:space="preserve">24/07/2027</t>
  </si>
  <si>
    <t xml:space="preserve">K228077</t>
  </si>
  <si>
    <t xml:space="preserve">21/12/2022</t>
  </si>
  <si>
    <t xml:space="preserve">DE-CE-9041</t>
  </si>
  <si>
    <t xml:space="preserve">10/04/2021</t>
  </si>
  <si>
    <t xml:space="preserve">13/12/2026</t>
  </si>
  <si>
    <t xml:space="preserve">ANVISA-41890</t>
  </si>
  <si>
    <t xml:space="preserve">18/09/2018</t>
  </si>
  <si>
    <t xml:space="preserve">12/07/2023</t>
  </si>
  <si>
    <t xml:space="preserve">PMDA-882169</t>
  </si>
  <si>
    <t xml:space="preserve">23/08/2022</t>
  </si>
  <si>
    <t xml:space="preserve">09/05/2027</t>
  </si>
  <si>
    <t xml:space="preserve">ARTG-231807</t>
  </si>
  <si>
    <t xml:space="preserve">11/02/2017</t>
  </si>
  <si>
    <t xml:space="preserve">24/09/2022</t>
  </si>
  <si>
    <t xml:space="preserve">K148535</t>
  </si>
  <si>
    <t xml:space="preserve">09/12/2017</t>
  </si>
  <si>
    <t xml:space="preserve">DE-CE-9595</t>
  </si>
  <si>
    <t xml:space="preserve">27/04/2023</t>
  </si>
  <si>
    <t xml:space="preserve">10/04/2028</t>
  </si>
  <si>
    <t xml:space="preserve">ANVISA-57301</t>
  </si>
  <si>
    <t xml:space="preserve">23/09/2016</t>
  </si>
  <si>
    <t xml:space="preserve">05/05/2021</t>
  </si>
  <si>
    <t xml:space="preserve">PMDA-147726</t>
  </si>
  <si>
    <t xml:space="preserve">21/08/2014</t>
  </si>
  <si>
    <t xml:space="preserve">04/01/2019</t>
  </si>
  <si>
    <t xml:space="preserve">ARTG-249075</t>
  </si>
  <si>
    <t xml:space="preserve">11/03/2021</t>
  </si>
  <si>
    <t xml:space="preserve">02/05/2026</t>
  </si>
  <si>
    <t xml:space="preserve">K225233</t>
  </si>
  <si>
    <t xml:space="preserve">16/02/2015</t>
  </si>
  <si>
    <t xml:space="preserve">DE-CE-1878</t>
  </si>
  <si>
    <t xml:space="preserve">03/04/2016</t>
  </si>
  <si>
    <t xml:space="preserve">04/09/2021</t>
  </si>
  <si>
    <t xml:space="preserve">ANVISA-64548</t>
  </si>
  <si>
    <t xml:space="preserve">15/08/2023</t>
  </si>
  <si>
    <t xml:space="preserve">10/10/2028</t>
  </si>
  <si>
    <t xml:space="preserve">PMDA-549660</t>
  </si>
  <si>
    <t xml:space="preserve">25/04/2018</t>
  </si>
  <si>
    <t xml:space="preserve">21/04/2023</t>
  </si>
  <si>
    <t xml:space="preserve">ARTG-238750</t>
  </si>
  <si>
    <t xml:space="preserve">06/09/2015</t>
  </si>
  <si>
    <t xml:space="preserve">03/03/2020</t>
  </si>
  <si>
    <t xml:space="preserve">K100701</t>
  </si>
  <si>
    <t xml:space="preserve">10/01/2020</t>
  </si>
  <si>
    <t xml:space="preserve">DE-CE-4792</t>
  </si>
  <si>
    <t xml:space="preserve">03/11/2018</t>
  </si>
  <si>
    <t xml:space="preserve">08/05/2023</t>
  </si>
  <si>
    <t xml:space="preserve">ANVISA-91927</t>
  </si>
  <si>
    <t xml:space="preserve">04/09/2023</t>
  </si>
  <si>
    <t xml:space="preserve">08/11/2028</t>
  </si>
  <si>
    <t xml:space="preserve">PMDA-256226</t>
  </si>
  <si>
    <t xml:space="preserve">02/03/2018</t>
  </si>
  <si>
    <t xml:space="preserve">26/05/2023</t>
  </si>
  <si>
    <t xml:space="preserve">ARTG-398428</t>
  </si>
  <si>
    <t xml:space="preserve">15/12/2018</t>
  </si>
  <si>
    <t xml:space="preserve">10/12/2023</t>
  </si>
  <si>
    <t xml:space="preserve">K205515</t>
  </si>
  <si>
    <t xml:space="preserve">03/10/2018</t>
  </si>
  <si>
    <t xml:space="preserve">DE-CE-1653</t>
  </si>
  <si>
    <t xml:space="preserve">01/02/2020</t>
  </si>
  <si>
    <t xml:space="preserve">08/11/2025</t>
  </si>
  <si>
    <t xml:space="preserve">ANVISA-85392</t>
  </si>
  <si>
    <t xml:space="preserve">19/01/2023</t>
  </si>
  <si>
    <t xml:space="preserve">25/03/2028</t>
  </si>
  <si>
    <t xml:space="preserve">PMDA-593355</t>
  </si>
  <si>
    <t xml:space="preserve">06/10/2022</t>
  </si>
  <si>
    <t xml:space="preserve">14/11/2027</t>
  </si>
  <si>
    <t xml:space="preserve">ARTG-357805</t>
  </si>
  <si>
    <t xml:space="preserve">14/06/2015</t>
  </si>
  <si>
    <t xml:space="preserve">11/11/2020</t>
  </si>
  <si>
    <t xml:space="preserve">K127420</t>
  </si>
  <si>
    <t xml:space="preserve">23/08/2016</t>
  </si>
  <si>
    <t xml:space="preserve">DE-CE-5722</t>
  </si>
  <si>
    <t xml:space="preserve">03/06/2020</t>
  </si>
  <si>
    <t xml:space="preserve">09/06/2025</t>
  </si>
  <si>
    <t xml:space="preserve">ANVISA-25194</t>
  </si>
  <si>
    <t xml:space="preserve">14/01/2020</t>
  </si>
  <si>
    <t xml:space="preserve">07/09/2025</t>
  </si>
  <si>
    <t xml:space="preserve">PMDA-479353</t>
  </si>
  <si>
    <t xml:space="preserve">25/01/2023</t>
  </si>
  <si>
    <t xml:space="preserve">07/05/2028</t>
  </si>
  <si>
    <t xml:space="preserve">ARTG-387949</t>
  </si>
  <si>
    <t xml:space="preserve">04/01/2021</t>
  </si>
  <si>
    <t xml:space="preserve">Anchorix Suture System - USA Registration</t>
  </si>
  <si>
    <t xml:space="preserve">K162730</t>
  </si>
  <si>
    <t xml:space="preserve">18/07/2016</t>
  </si>
  <si>
    <t xml:space="preserve">Anchorix Suture System - Germany Registration</t>
  </si>
  <si>
    <t xml:space="preserve">DE-CE-2527</t>
  </si>
  <si>
    <t xml:space="preserve">04/11/2017</t>
  </si>
  <si>
    <t xml:space="preserve">27/03/2022</t>
  </si>
  <si>
    <t xml:space="preserve">Anchorix Suture System - Brazil Registration</t>
  </si>
  <si>
    <t xml:space="preserve">ANVISA-75323</t>
  </si>
  <si>
    <t xml:space="preserve">27/08/2018</t>
  </si>
  <si>
    <t xml:space="preserve">16/04/2023</t>
  </si>
  <si>
    <t xml:space="preserve">Anchorix Suture System - Japan Registration</t>
  </si>
  <si>
    <t xml:space="preserve">PMDA-578975</t>
  </si>
  <si>
    <t xml:space="preserve">07/10/2022</t>
  </si>
  <si>
    <t xml:space="preserve">17/12/2027</t>
  </si>
  <si>
    <t xml:space="preserve">Anchorix Suture System - Australia Registration</t>
  </si>
  <si>
    <t xml:space="preserve">ARTG-171569</t>
  </si>
  <si>
    <t xml:space="preserve">09/01/2020</t>
  </si>
  <si>
    <t xml:space="preserve">K174144</t>
  </si>
  <si>
    <t xml:space="preserve">15/09/2018</t>
  </si>
  <si>
    <t xml:space="preserve">DE-CE-8935</t>
  </si>
  <si>
    <t xml:space="preserve">15/06/2019</t>
  </si>
  <si>
    <t xml:space="preserve">28/04/2024</t>
  </si>
  <si>
    <t xml:space="preserve">ANVISA-41300</t>
  </si>
  <si>
    <t xml:space="preserve">28/07/2023</t>
  </si>
  <si>
    <t xml:space="preserve">02/06/2028</t>
  </si>
  <si>
    <t xml:space="preserve">PMDA-880879</t>
  </si>
  <si>
    <t xml:space="preserve">22/11/2021</t>
  </si>
  <si>
    <t xml:space="preserve">05/08/2026</t>
  </si>
  <si>
    <t xml:space="preserve">ARTG-119408</t>
  </si>
  <si>
    <t xml:space="preserve">28/08/2016</t>
  </si>
  <si>
    <t xml:space="preserve">K219780</t>
  </si>
  <si>
    <t xml:space="preserve">28/11/2014</t>
  </si>
  <si>
    <t xml:space="preserve">DE-CE-3529</t>
  </si>
  <si>
    <t xml:space="preserve">11/10/2015</t>
  </si>
  <si>
    <t xml:space="preserve">23/07/2020</t>
  </si>
  <si>
    <t xml:space="preserve">ANVISA-95175</t>
  </si>
  <si>
    <t xml:space="preserve">11/11/2015</t>
  </si>
  <si>
    <t xml:space="preserve">23/08/2020</t>
  </si>
  <si>
    <t xml:space="preserve">PMDA-667296</t>
  </si>
  <si>
    <t xml:space="preserve">21/11/2014</t>
  </si>
  <si>
    <t xml:space="preserve">10/04/2019</t>
  </si>
  <si>
    <t xml:space="preserve">ARTG-147384</t>
  </si>
  <si>
    <t xml:space="preserve">15/03/2020</t>
  </si>
  <si>
    <t xml:space="preserve">23/05/2025</t>
  </si>
  <si>
    <t xml:space="preserve">K107588</t>
  </si>
  <si>
    <t xml:space="preserve">10/06/2014</t>
  </si>
  <si>
    <t xml:space="preserve">DE-CE-7141</t>
  </si>
  <si>
    <t xml:space="preserve">17/07/2020</t>
  </si>
  <si>
    <t xml:space="preserve">19/11/2025</t>
  </si>
  <si>
    <t xml:space="preserve">ANVISA-33600</t>
  </si>
  <si>
    <t xml:space="preserve">20/07/2016</t>
  </si>
  <si>
    <t xml:space="preserve">20/11/2021</t>
  </si>
  <si>
    <t xml:space="preserve">PMDA-352528</t>
  </si>
  <si>
    <t xml:space="preserve">15/11/2021</t>
  </si>
  <si>
    <t xml:space="preserve">09/08/2026</t>
  </si>
  <si>
    <t xml:space="preserve">ARTG-233864</t>
  </si>
  <si>
    <t xml:space="preserve">22/09/2014</t>
  </si>
  <si>
    <t xml:space="preserve">06/02/2019</t>
  </si>
  <si>
    <t xml:space="preserve">K215796</t>
  </si>
  <si>
    <t xml:space="preserve">23/05/2019</t>
  </si>
  <si>
    <t xml:space="preserve">DE-CE-8484</t>
  </si>
  <si>
    <t xml:space="preserve">28/08/2018</t>
  </si>
  <si>
    <t xml:space="preserve">04/04/2023</t>
  </si>
  <si>
    <t xml:space="preserve">ANVISA-59986</t>
  </si>
  <si>
    <t xml:space="preserve">01/11/2028</t>
  </si>
  <si>
    <t xml:space="preserve">PMDA-515032</t>
  </si>
  <si>
    <t xml:space="preserve">20/12/2018</t>
  </si>
  <si>
    <t xml:space="preserve">16/05/2023</t>
  </si>
  <si>
    <t xml:space="preserve">ARTG-220648</t>
  </si>
  <si>
    <t xml:space="preserve">20/05/2028</t>
  </si>
  <si>
    <t xml:space="preserve">K135855</t>
  </si>
  <si>
    <t xml:space="preserve">26/08/2015</t>
  </si>
  <si>
    <t xml:space="preserve">DE-CE-1546</t>
  </si>
  <si>
    <t xml:space="preserve">03/05/2023</t>
  </si>
  <si>
    <t xml:space="preserve">11/12/2028</t>
  </si>
  <si>
    <t xml:space="preserve">ANVISA-64460</t>
  </si>
  <si>
    <t xml:space="preserve">26/09/2016</t>
  </si>
  <si>
    <t xml:space="preserve">12/09/2021</t>
  </si>
  <si>
    <t xml:space="preserve">PMDA-626169</t>
  </si>
  <si>
    <t xml:space="preserve">ARTG-277584</t>
  </si>
  <si>
    <t xml:space="preserve">05/04/2015</t>
  </si>
  <si>
    <t xml:space="preserve">28/11/2020</t>
  </si>
  <si>
    <t xml:space="preserve">K204179</t>
  </si>
  <si>
    <t xml:space="preserve">26/07/2022</t>
  </si>
  <si>
    <t xml:space="preserve">DE-CE-1228</t>
  </si>
  <si>
    <t xml:space="preserve">12/11/2018</t>
  </si>
  <si>
    <t xml:space="preserve">24/11/2023</t>
  </si>
  <si>
    <t xml:space="preserve">ANVISA-44362</t>
  </si>
  <si>
    <t xml:space="preserve">04/11/2023</t>
  </si>
  <si>
    <t xml:space="preserve">08/08/2028</t>
  </si>
  <si>
    <t xml:space="preserve">PMDA-126240</t>
  </si>
  <si>
    <t xml:space="preserve">21/02/2023</t>
  </si>
  <si>
    <t xml:space="preserve">21/08/2028</t>
  </si>
  <si>
    <t xml:space="preserve">ARTG-258434</t>
  </si>
  <si>
    <t xml:space="preserve">02/01/2020</t>
  </si>
  <si>
    <t xml:space="preserve">10/08/2025</t>
  </si>
  <si>
    <t xml:space="preserve">K130440</t>
  </si>
  <si>
    <t xml:space="preserve">13/08/2015</t>
  </si>
  <si>
    <t xml:space="preserve">DE-CE-7078</t>
  </si>
  <si>
    <t xml:space="preserve">14/11/2022</t>
  </si>
  <si>
    <t xml:space="preserve">04/08/2027</t>
  </si>
  <si>
    <t xml:space="preserve">ANVISA-90694</t>
  </si>
  <si>
    <t xml:space="preserve">23/06/2020</t>
  </si>
  <si>
    <t xml:space="preserve">07/08/2025</t>
  </si>
  <si>
    <t xml:space="preserve">PMDA-566297</t>
  </si>
  <si>
    <t xml:space="preserve">22/06/2017</t>
  </si>
  <si>
    <t xml:space="preserve">18/11/2022</t>
  </si>
  <si>
    <t xml:space="preserve">ARTG-288048</t>
  </si>
  <si>
    <t xml:space="preserve">07/02/2014</t>
  </si>
  <si>
    <t xml:space="preserve">28/08/2019</t>
  </si>
  <si>
    <t xml:space="preserve">Radiant Nail System - USA Registration</t>
  </si>
  <si>
    <t xml:space="preserve">K124031</t>
  </si>
  <si>
    <t xml:space="preserve">26/06/2017</t>
  </si>
  <si>
    <t xml:space="preserve">Radiant Nail System - Germany Registration</t>
  </si>
  <si>
    <t xml:space="preserve">DE-CE-4990</t>
  </si>
  <si>
    <t xml:space="preserve">27/09/2016</t>
  </si>
  <si>
    <t xml:space="preserve">07/10/2021</t>
  </si>
  <si>
    <t xml:space="preserve">Radiant Nail System - Brazil Registration</t>
  </si>
  <si>
    <t xml:space="preserve">ANVISA-38305</t>
  </si>
  <si>
    <t xml:space="preserve">26/10/2017</t>
  </si>
  <si>
    <t xml:space="preserve">01/05/2022</t>
  </si>
  <si>
    <t xml:space="preserve">Radiant Nail System - Japan Registration</t>
  </si>
  <si>
    <t xml:space="preserve">PMDA-251716</t>
  </si>
  <si>
    <t xml:space="preserve">04/11/2016</t>
  </si>
  <si>
    <t xml:space="preserve">28/01/2021</t>
  </si>
  <si>
    <t xml:space="preserve">Radiant Nail System - Australia Registration</t>
  </si>
  <si>
    <t xml:space="preserve">ARTG-169102</t>
  </si>
  <si>
    <t xml:space="preserve">19/06/2014</t>
  </si>
  <si>
    <t xml:space="preserve">01/03/2019</t>
  </si>
  <si>
    <t xml:space="preserve">K169564</t>
  </si>
  <si>
    <t xml:space="preserve">17/02/2014</t>
  </si>
  <si>
    <t xml:space="preserve">DE-CE-2041</t>
  </si>
  <si>
    <t xml:space="preserve">17/10/2021</t>
  </si>
  <si>
    <t xml:space="preserve">04/08/2026</t>
  </si>
  <si>
    <t xml:space="preserve">ANVISA-76039</t>
  </si>
  <si>
    <t xml:space="preserve">15/11/2017</t>
  </si>
  <si>
    <t xml:space="preserve">01/01/2022</t>
  </si>
  <si>
    <t xml:space="preserve">PMDA-602248</t>
  </si>
  <si>
    <t xml:space="preserve">16/12/2020</t>
  </si>
  <si>
    <t xml:space="preserve">15/02/2025</t>
  </si>
  <si>
    <t xml:space="preserve">ARTG-142357</t>
  </si>
  <si>
    <t xml:space="preserve">05/05/2019</t>
  </si>
  <si>
    <t xml:space="preserve">20/11/2024</t>
  </si>
  <si>
    <t xml:space="preserve">K185245</t>
  </si>
  <si>
    <t xml:space="preserve">17/10/2020</t>
  </si>
  <si>
    <t xml:space="preserve">DE-CE-8048</t>
  </si>
  <si>
    <t xml:space="preserve">14/08/2015</t>
  </si>
  <si>
    <t xml:space="preserve">08/07/2020</t>
  </si>
  <si>
    <t xml:space="preserve">ANVISA-54424</t>
  </si>
  <si>
    <t xml:space="preserve">24/02/2021</t>
  </si>
  <si>
    <t xml:space="preserve">11/07/2026</t>
  </si>
  <si>
    <t xml:space="preserve">PMDA-427704</t>
  </si>
  <si>
    <t xml:space="preserve">22/08/2018</t>
  </si>
  <si>
    <t xml:space="preserve">03/02/2023</t>
  </si>
  <si>
    <t xml:space="preserve">ARTG-144755</t>
  </si>
  <si>
    <t xml:space="preserve">24/12/2015</t>
  </si>
  <si>
    <t xml:space="preserve">12/03/2020</t>
  </si>
  <si>
    <t xml:space="preserve">K115723</t>
  </si>
  <si>
    <t xml:space="preserve">14/06/2023</t>
  </si>
  <si>
    <t xml:space="preserve">DE-CE-7929</t>
  </si>
  <si>
    <t xml:space="preserve">12/02/2014</t>
  </si>
  <si>
    <t xml:space="preserve">19/09/2019</t>
  </si>
  <si>
    <t xml:space="preserve">ANVISA-37884</t>
  </si>
  <si>
    <t xml:space="preserve">28/02/2016</t>
  </si>
  <si>
    <t xml:space="preserve">PMDA-485415</t>
  </si>
  <si>
    <t xml:space="preserve">26/07/2015</t>
  </si>
  <si>
    <t xml:space="preserve">28/09/2020</t>
  </si>
  <si>
    <t xml:space="preserve">ARTG-391891</t>
  </si>
  <si>
    <t xml:space="preserve">06/05/2014</t>
  </si>
  <si>
    <t xml:space="preserve">K189082</t>
  </si>
  <si>
    <t xml:space="preserve">28/03/2019</t>
  </si>
  <si>
    <t xml:space="preserve">DE-CE-7566</t>
  </si>
  <si>
    <t xml:space="preserve">03/12/2015</t>
  </si>
  <si>
    <t xml:space="preserve">17/04/2020</t>
  </si>
  <si>
    <t xml:space="preserve">ANVISA-59308</t>
  </si>
  <si>
    <t xml:space="preserve">06/06/2020</t>
  </si>
  <si>
    <t xml:space="preserve">10/12/2025</t>
  </si>
  <si>
    <t xml:space="preserve">PMDA-440140</t>
  </si>
  <si>
    <t xml:space="preserve">05/03/2023</t>
  </si>
  <si>
    <t xml:space="preserve">25/10/2028</t>
  </si>
  <si>
    <t xml:space="preserve">ARTG-126089</t>
  </si>
  <si>
    <t xml:space="preserve">22/07/2015</t>
  </si>
  <si>
    <t xml:space="preserve">16/10/2020</t>
  </si>
  <si>
    <t xml:space="preserve">K215879</t>
  </si>
  <si>
    <t xml:space="preserve">25/09/2020</t>
  </si>
  <si>
    <t xml:space="preserve">DE-CE-2864</t>
  </si>
  <si>
    <t xml:space="preserve">10/11/2019</t>
  </si>
  <si>
    <t xml:space="preserve">22/10/2024</t>
  </si>
  <si>
    <t xml:space="preserve">ANVISA-73783</t>
  </si>
  <si>
    <t xml:space="preserve">08/07/2022</t>
  </si>
  <si>
    <t xml:space="preserve">20/01/2027</t>
  </si>
  <si>
    <t xml:space="preserve">PMDA-108060</t>
  </si>
  <si>
    <t xml:space="preserve">25/03/2017</t>
  </si>
  <si>
    <t xml:space="preserve">25/05/2022</t>
  </si>
  <si>
    <t xml:space="preserve">ARTG-251753</t>
  </si>
  <si>
    <t xml:space="preserve">16/12/2019</t>
  </si>
  <si>
    <t xml:space="preserve">14/03/2024</t>
  </si>
  <si>
    <t xml:space="preserve">K133865</t>
  </si>
  <si>
    <t xml:space="preserve">03/07/2020</t>
  </si>
  <si>
    <t xml:space="preserve">DE-CE-1693</t>
  </si>
  <si>
    <t xml:space="preserve">19/07/2025</t>
  </si>
  <si>
    <t xml:space="preserve">ANVISA-85156</t>
  </si>
  <si>
    <t xml:space="preserve">04/07/2020</t>
  </si>
  <si>
    <t xml:space="preserve">01/06/2025</t>
  </si>
  <si>
    <t xml:space="preserve">PMDA-280222</t>
  </si>
  <si>
    <t xml:space="preserve">03/07/2023</t>
  </si>
  <si>
    <t xml:space="preserve">28/02/2028</t>
  </si>
  <si>
    <t xml:space="preserve">ARTG-227567</t>
  </si>
  <si>
    <t xml:space="preserve">13/05/2020</t>
  </si>
  <si>
    <t xml:space="preserve">24/06/2025</t>
  </si>
  <si>
    <t xml:space="preserve">K158083</t>
  </si>
  <si>
    <t xml:space="preserve">17/11/2019</t>
  </si>
  <si>
    <t xml:space="preserve">DE-CE-2868</t>
  </si>
  <si>
    <t xml:space="preserve">12/12/2022</t>
  </si>
  <si>
    <t xml:space="preserve">27/11/2027</t>
  </si>
  <si>
    <t xml:space="preserve">ANVISA-29358</t>
  </si>
  <si>
    <t xml:space="preserve">09/04/2017</t>
  </si>
  <si>
    <t xml:space="preserve">PMDA-260295</t>
  </si>
  <si>
    <t xml:space="preserve">15/10/2015</t>
  </si>
  <si>
    <t xml:space="preserve">25/10/2020</t>
  </si>
  <si>
    <t xml:space="preserve">ARTG-335355</t>
  </si>
  <si>
    <t xml:space="preserve">05/08/2023</t>
  </si>
  <si>
    <t xml:space="preserve">03/08/2028</t>
  </si>
  <si>
    <t xml:space="preserve">Corvid Fragment System - USA Registration</t>
  </si>
  <si>
    <t xml:space="preserve">K215922</t>
  </si>
  <si>
    <t xml:space="preserve">12/09/2018</t>
  </si>
  <si>
    <t xml:space="preserve">Corvid Fragment System - Germany Registration</t>
  </si>
  <si>
    <t xml:space="preserve">DE-CE-2215</t>
  </si>
  <si>
    <t xml:space="preserve">02/01/2018</t>
  </si>
  <si>
    <t xml:space="preserve">12/05/2023</t>
  </si>
  <si>
    <t xml:space="preserve">Corvid Fragment System - Brazil Registration</t>
  </si>
  <si>
    <t xml:space="preserve">ANVISA-20057</t>
  </si>
  <si>
    <t xml:space="preserve">19/09/2015</t>
  </si>
  <si>
    <t xml:space="preserve">26/12/2020</t>
  </si>
  <si>
    <t xml:space="preserve">Corvid Fragment System - Japan Registration</t>
  </si>
  <si>
    <t xml:space="preserve">PMDA-143015</t>
  </si>
  <si>
    <t xml:space="preserve">20/08/2021</t>
  </si>
  <si>
    <t xml:space="preserve">17/03/2026</t>
  </si>
  <si>
    <t xml:space="preserve">Corvid Fragment System - Australia Registration</t>
  </si>
  <si>
    <t xml:space="preserve">ARTG-132439</t>
  </si>
  <si>
    <t xml:space="preserve">23/02/2021</t>
  </si>
  <si>
    <t xml:space="preserve">17/11/2026</t>
  </si>
  <si>
    <t xml:space="preserve">K145235</t>
  </si>
  <si>
    <t xml:space="preserve">15/09/2014</t>
  </si>
  <si>
    <t xml:space="preserve">DE-CE-9564</t>
  </si>
  <si>
    <t xml:space="preserve">13/07/2028</t>
  </si>
  <si>
    <t xml:space="preserve">ANVISA-54350</t>
  </si>
  <si>
    <t xml:space="preserve">03/06/2023</t>
  </si>
  <si>
    <t xml:space="preserve">04/09/2028</t>
  </si>
  <si>
    <t xml:space="preserve">PMDA-811332</t>
  </si>
  <si>
    <t xml:space="preserve">24/11/2020</t>
  </si>
  <si>
    <t xml:space="preserve">20/03/2025</t>
  </si>
  <si>
    <t xml:space="preserve">ARTG-274777</t>
  </si>
  <si>
    <t xml:space="preserve">10/11/2015</t>
  </si>
  <si>
    <t xml:space="preserve">23/11/2020</t>
  </si>
  <si>
    <t xml:space="preserve">K202749</t>
  </si>
  <si>
    <t xml:space="preserve">DE-CE-6381</t>
  </si>
  <si>
    <t xml:space="preserve">17/06/2016</t>
  </si>
  <si>
    <t xml:space="preserve">01/06/2021</t>
  </si>
  <si>
    <t xml:space="preserve">ANVISA-50483</t>
  </si>
  <si>
    <t xml:space="preserve">25/08/2016</t>
  </si>
  <si>
    <t xml:space="preserve">07/04/2021</t>
  </si>
  <si>
    <t xml:space="preserve">PMDA-244247</t>
  </si>
  <si>
    <t xml:space="preserve">17/09/2021</t>
  </si>
  <si>
    <t xml:space="preserve">ARTG-376054</t>
  </si>
  <si>
    <t xml:space="preserve">20/07/2014</t>
  </si>
  <si>
    <t xml:space="preserve">05/03/2019</t>
  </si>
  <si>
    <t xml:space="preserve">K147407</t>
  </si>
  <si>
    <t xml:space="preserve">02/07/2023</t>
  </si>
  <si>
    <t xml:space="preserve">DE-CE-6968</t>
  </si>
  <si>
    <t xml:space="preserve">25/12/2017</t>
  </si>
  <si>
    <t xml:space="preserve">26/08/2022</t>
  </si>
  <si>
    <t xml:space="preserve">ANVISA-40671</t>
  </si>
  <si>
    <t xml:space="preserve">27/04/2027</t>
  </si>
  <si>
    <t xml:space="preserve">PMDA-485709</t>
  </si>
  <si>
    <t xml:space="preserve">25/05/2023</t>
  </si>
  <si>
    <t xml:space="preserve">25/07/2028</t>
  </si>
  <si>
    <t xml:space="preserve">ARTG-363667</t>
  </si>
  <si>
    <t xml:space="preserve">27/04/2022</t>
  </si>
  <si>
    <t xml:space="preserve">26/10/2027</t>
  </si>
  <si>
    <t xml:space="preserve">K136280</t>
  </si>
  <si>
    <t xml:space="preserve">28/06/2018</t>
  </si>
  <si>
    <t xml:space="preserve">DE-CE-2680</t>
  </si>
  <si>
    <t xml:space="preserve">03/03/2022</t>
  </si>
  <si>
    <t xml:space="preserve">09/08/2027</t>
  </si>
  <si>
    <t xml:space="preserve">ANVISA-77286</t>
  </si>
  <si>
    <t xml:space="preserve">08/08/2016</t>
  </si>
  <si>
    <t xml:space="preserve">12/01/2021</t>
  </si>
  <si>
    <t xml:space="preserve">PMDA-535050</t>
  </si>
  <si>
    <t xml:space="preserve">08/07/2014</t>
  </si>
  <si>
    <t xml:space="preserve">03/06/2019</t>
  </si>
  <si>
    <t xml:space="preserve">ARTG-217722</t>
  </si>
  <si>
    <t xml:space="preserve">27/12/2014</t>
  </si>
  <si>
    <t xml:space="preserve">21/06/2019</t>
  </si>
  <si>
    <t xml:space="preserve">K138285</t>
  </si>
  <si>
    <t xml:space="preserve">27/08/2016</t>
  </si>
  <si>
    <t xml:space="preserve">DE-CE-3273</t>
  </si>
  <si>
    <t xml:space="preserve">03/01/2021</t>
  </si>
  <si>
    <t xml:space="preserve">09/04/2026</t>
  </si>
  <si>
    <t xml:space="preserve">ANVISA-29597</t>
  </si>
  <si>
    <t xml:space="preserve">08/05/2027</t>
  </si>
  <si>
    <t xml:space="preserve">PMDA-227767</t>
  </si>
  <si>
    <t xml:space="preserve">21/10/2014</t>
  </si>
  <si>
    <t xml:space="preserve">15/02/2019</t>
  </si>
  <si>
    <t xml:space="preserve">ARTG-158121</t>
  </si>
  <si>
    <t xml:space="preserve">23/03/2021</t>
  </si>
  <si>
    <t xml:space="preserve">10/07/2026</t>
  </si>
  <si>
    <t xml:space="preserve">K100410</t>
  </si>
  <si>
    <t xml:space="preserve">19/07/2023</t>
  </si>
  <si>
    <t xml:space="preserve">DE-CE-4068</t>
  </si>
  <si>
    <t xml:space="preserve">17/09/2015</t>
  </si>
  <si>
    <t xml:space="preserve">17/09/2020</t>
  </si>
  <si>
    <t xml:space="preserve">ANVISA-82633</t>
  </si>
  <si>
    <t xml:space="preserve">02/11/2014</t>
  </si>
  <si>
    <t xml:space="preserve">13/06/2019</t>
  </si>
  <si>
    <t xml:space="preserve">PMDA-365971</t>
  </si>
  <si>
    <t xml:space="preserve">12/04/2014</t>
  </si>
  <si>
    <t xml:space="preserve">24/11/2019</t>
  </si>
  <si>
    <t xml:space="preserve">ARTG-154349</t>
  </si>
  <si>
    <t xml:space="preserve">02/06/2023</t>
  </si>
  <si>
    <t xml:space="preserve">18/06/2028</t>
  </si>
  <si>
    <t xml:space="preserve">K145898</t>
  </si>
  <si>
    <t xml:space="preserve">26/03/2021</t>
  </si>
  <si>
    <t xml:space="preserve">DE-CE-2033</t>
  </si>
  <si>
    <t xml:space="preserve">07/01/2021</t>
  </si>
  <si>
    <t xml:space="preserve">26/04/2026</t>
  </si>
  <si>
    <t xml:space="preserve">ANVISA-15492</t>
  </si>
  <si>
    <t xml:space="preserve">27/09/2019</t>
  </si>
  <si>
    <t xml:space="preserve">16/05/2024</t>
  </si>
  <si>
    <t xml:space="preserve">PMDA-138399</t>
  </si>
  <si>
    <t xml:space="preserve">28/01/2017</t>
  </si>
  <si>
    <t xml:space="preserve">28/11/2022</t>
  </si>
  <si>
    <t xml:space="preserve">ARTG-274024</t>
  </si>
  <si>
    <t xml:space="preserve">14/07/2018</t>
  </si>
  <si>
    <t xml:space="preserve">24/08/2023</t>
  </si>
  <si>
    <t xml:space="preserve">Incident ID</t>
  </si>
  <si>
    <t xml:space="preserve">Date Reported</t>
  </si>
  <si>
    <t xml:space="preserve">Incident Type</t>
  </si>
  <si>
    <t xml:space="preserve">Severity</t>
  </si>
  <si>
    <t xml:space="preserve">Corrective Action</t>
  </si>
  <si>
    <t xml:space="preserve">Status</t>
  </si>
  <si>
    <t xml:space="preserve">INC-1001</t>
  </si>
  <si>
    <t xml:space="preserve">06/08/2023</t>
  </si>
  <si>
    <t xml:space="preserve">Sterility indicator failure</t>
  </si>
  <si>
    <t xml:space="preserve">Medium</t>
  </si>
  <si>
    <t xml:space="preserve">Root cause traced to packaging vendor, spec updated</t>
  </si>
  <si>
    <t xml:space="preserve">Under Investigation</t>
  </si>
  <si>
    <t xml:space="preserve">INC-1002</t>
  </si>
  <si>
    <t xml:space="preserve">24/07/2021</t>
  </si>
  <si>
    <t xml:space="preserve">Bent on delivery</t>
  </si>
  <si>
    <t xml:space="preserve">CAPA opened, in-process inspection added</t>
  </si>
  <si>
    <t xml:space="preserve">Closed - CAPA Issued</t>
  </si>
  <si>
    <t xml:space="preserve">INC-1003</t>
  </si>
  <si>
    <t xml:space="preserve">10/06/2025</t>
  </si>
  <si>
    <t xml:space="preserve">Low</t>
  </si>
  <si>
    <t xml:space="preserve">INC-1004</t>
  </si>
  <si>
    <t xml:space="preserve">15/10/2023</t>
  </si>
  <si>
    <t xml:space="preserve">Unit replaced under warranty, no trend identified</t>
  </si>
  <si>
    <t xml:space="preserve">Closed - Replaced Unit</t>
  </si>
  <si>
    <t xml:space="preserve">INC-1005</t>
  </si>
  <si>
    <t xml:space="preserve">15/01/2023</t>
  </si>
  <si>
    <t xml:space="preserve">INC-1006</t>
  </si>
  <si>
    <t xml:space="preserve">26/01/2026</t>
  </si>
  <si>
    <t xml:space="preserve">High</t>
  </si>
  <si>
    <t xml:space="preserve">No corrective action required, isolated event</t>
  </si>
  <si>
    <t xml:space="preserve">INC-1007</t>
  </si>
  <si>
    <t xml:space="preserve">26/12/2025</t>
  </si>
  <si>
    <t xml:space="preserve">Vendor notified, incoming inspection tightened</t>
  </si>
  <si>
    <t xml:space="preserve">INC-1008</t>
  </si>
  <si>
    <t xml:space="preserve">22/08/2025</t>
  </si>
  <si>
    <t xml:space="preserve">INC-1009</t>
  </si>
  <si>
    <t xml:space="preserve">12/06/2026</t>
  </si>
  <si>
    <t xml:space="preserve">Surface finish nonconformance</t>
  </si>
  <si>
    <t xml:space="preserve">INC-1010</t>
  </si>
  <si>
    <t xml:space="preserve">12/08/2023</t>
  </si>
  <si>
    <t xml:space="preserve">INC-1011</t>
  </si>
  <si>
    <t xml:space="preserve">11/11/2024</t>
  </si>
  <si>
    <t xml:space="preserve">Labeling discrepancy</t>
  </si>
  <si>
    <t xml:space="preserve">Closed - No Action</t>
  </si>
  <si>
    <t xml:space="preserve">INC-1012</t>
  </si>
  <si>
    <t xml:space="preserve">06/08/2026</t>
  </si>
  <si>
    <t xml:space="preserve">Dimensional out of spec</t>
  </si>
  <si>
    <t xml:space="preserve">INC-1013</t>
  </si>
  <si>
    <t xml:space="preserve">INC-1014</t>
  </si>
  <si>
    <t xml:space="preserve">16/04/2026</t>
  </si>
  <si>
    <t xml:space="preserve">INC-1015</t>
  </si>
  <si>
    <t xml:space="preserve">15/02/2026</t>
  </si>
  <si>
    <t xml:space="preserve">INC-1016</t>
  </si>
  <si>
    <t xml:space="preserve">18/05/2025</t>
  </si>
  <si>
    <t xml:space="preserve">INC-1017</t>
  </si>
  <si>
    <t xml:space="preserve">08/02/2025</t>
  </si>
  <si>
    <t xml:space="preserve">Packaging breach</t>
  </si>
  <si>
    <t xml:space="preserve">INC-1018</t>
  </si>
  <si>
    <t xml:space="preserve">18/10/2023</t>
  </si>
  <si>
    <t xml:space="preserve">INC-1019</t>
  </si>
  <si>
    <t xml:space="preserve">03/02/2025</t>
  </si>
  <si>
    <t xml:space="preserve">INC-1020</t>
  </si>
  <si>
    <t xml:space="preserve">03/03/2025</t>
  </si>
  <si>
    <t xml:space="preserve">INC-1021</t>
  </si>
  <si>
    <t xml:space="preserve">22/09/2024</t>
  </si>
  <si>
    <t xml:space="preserve">INC-1022</t>
  </si>
  <si>
    <t xml:space="preserve">14/09/2022</t>
  </si>
  <si>
    <t xml:space="preserve">INC-1023</t>
  </si>
  <si>
    <t xml:space="preserve">06/03/2023</t>
  </si>
  <si>
    <t xml:space="preserve">INC-1024</t>
  </si>
  <si>
    <t xml:space="preserve">10/02/2025</t>
  </si>
  <si>
    <t xml:space="preserve">INC-1025</t>
  </si>
  <si>
    <t xml:space="preserve">10/10/2026</t>
  </si>
  <si>
    <t xml:space="preserve">INC-1026</t>
  </si>
  <si>
    <t xml:space="preserve">19/03/2025</t>
  </si>
  <si>
    <t xml:space="preserve">INC-1027</t>
  </si>
  <si>
    <t xml:space="preserve">02/01/2025</t>
  </si>
  <si>
    <t xml:space="preserve">INC-1028</t>
  </si>
  <si>
    <t xml:space="preserve">14/10/2025</t>
  </si>
  <si>
    <t xml:space="preserve">INC-1029</t>
  </si>
  <si>
    <t xml:space="preserve">10/08/2026</t>
  </si>
  <si>
    <t xml:space="preserve">INC-1030</t>
  </si>
  <si>
    <t xml:space="preserve">03/12/2024</t>
  </si>
  <si>
    <t xml:space="preserve">INC-1031</t>
  </si>
  <si>
    <t xml:space="preserve">07/06/2024</t>
  </si>
  <si>
    <t xml:space="preserve">INC-1032</t>
  </si>
  <si>
    <t xml:space="preserve">28/06/2026</t>
  </si>
  <si>
    <t xml:space="preserve">INC-1033</t>
  </si>
  <si>
    <t xml:space="preserve">08/08/2023</t>
  </si>
  <si>
    <t xml:space="preserve">INC-1034</t>
  </si>
  <si>
    <t xml:space="preserve">04/01/2022</t>
  </si>
  <si>
    <t xml:space="preserve">INC-1035</t>
  </si>
  <si>
    <t xml:space="preserve">28/03/2022</t>
  </si>
  <si>
    <t xml:space="preserve">INC-1036</t>
  </si>
  <si>
    <t xml:space="preserve">17/08/2024</t>
  </si>
  <si>
    <t xml:space="preserve">INC-1037</t>
  </si>
  <si>
    <t xml:space="preserve">13/09/2021</t>
  </si>
  <si>
    <t xml:space="preserve">INC-1038</t>
  </si>
  <si>
    <t xml:space="preserve">02/05/2021</t>
  </si>
  <si>
    <t xml:space="preserve">INC-1039</t>
  </si>
  <si>
    <t xml:space="preserve">14/03/2021</t>
  </si>
  <si>
    <t xml:space="preserve">INC-1040</t>
  </si>
  <si>
    <t xml:space="preserve">INC-1041</t>
  </si>
  <si>
    <t xml:space="preserve">INC-1042</t>
  </si>
  <si>
    <t xml:space="preserve">22/10/2025</t>
  </si>
  <si>
    <t xml:space="preserve">INC-1043</t>
  </si>
  <si>
    <t xml:space="preserve">26/06/2023</t>
  </si>
  <si>
    <t xml:space="preserve">INC-1044</t>
  </si>
  <si>
    <t xml:space="preserve">17/07/2025</t>
  </si>
  <si>
    <t xml:space="preserve">INC-1045</t>
  </si>
  <si>
    <t xml:space="preserve">11/08/2026</t>
  </si>
  <si>
    <t xml:space="preserve">INC-1046</t>
  </si>
  <si>
    <t xml:space="preserve">20/06/2023</t>
  </si>
  <si>
    <t xml:space="preserve">INC-1047</t>
  </si>
  <si>
    <t xml:space="preserve">11/09/2025</t>
  </si>
  <si>
    <t xml:space="preserve">INC-1048</t>
  </si>
  <si>
    <t xml:space="preserve">12/06/2021</t>
  </si>
  <si>
    <t xml:space="preserve">INC-1049</t>
  </si>
  <si>
    <t xml:space="preserve">28/12/2026</t>
  </si>
  <si>
    <t xml:space="preserve">INC-1050</t>
  </si>
  <si>
    <t xml:space="preserve">21/10/2023</t>
  </si>
  <si>
    <t xml:space="preserve">INC-1051</t>
  </si>
  <si>
    <t xml:space="preserve">17/11/2022</t>
  </si>
  <si>
    <t xml:space="preserve">INC-1052</t>
  </si>
  <si>
    <t xml:space="preserve">08/01/2026</t>
  </si>
  <si>
    <t xml:space="preserve">INC-1053</t>
  </si>
  <si>
    <t xml:space="preserve">11/07/2024</t>
  </si>
  <si>
    <t xml:space="preserve">INC-1054</t>
  </si>
  <si>
    <t xml:space="preserve">25/10/2025</t>
  </si>
  <si>
    <t xml:space="preserve">INC-1055</t>
  </si>
  <si>
    <t xml:space="preserve">11/11/2025</t>
  </si>
  <si>
    <t xml:space="preserve">INC-1056</t>
  </si>
  <si>
    <t xml:space="preserve">15/09/2022</t>
  </si>
  <si>
    <t xml:space="preserve">INC-1057</t>
  </si>
  <si>
    <t xml:space="preserve">16/04/2025</t>
  </si>
  <si>
    <t xml:space="preserve">INC-1058</t>
  </si>
  <si>
    <t xml:space="preserve">INC-1059</t>
  </si>
  <si>
    <t xml:space="preserve">12/09/2024</t>
  </si>
  <si>
    <t xml:space="preserve">INC-1060</t>
  </si>
  <si>
    <t xml:space="preserve">22/09/2025</t>
  </si>
  <si>
    <t xml:space="preserve">INC-1061</t>
  </si>
  <si>
    <t xml:space="preserve">10/12/2021</t>
  </si>
  <si>
    <t xml:space="preserve">INC-1062</t>
  </si>
  <si>
    <t xml:space="preserve">INC-1063</t>
  </si>
  <si>
    <t xml:space="preserve">04/10/2022</t>
  </si>
  <si>
    <t xml:space="preserve">INC-1064</t>
  </si>
  <si>
    <t xml:space="preserve">22/09/2021</t>
  </si>
  <si>
    <t xml:space="preserve">INC-1065</t>
  </si>
  <si>
    <t xml:space="preserve">11/12/2024</t>
  </si>
  <si>
    <t xml:space="preserve">INC-1066</t>
  </si>
  <si>
    <t xml:space="preserve">06/07/2025</t>
  </si>
  <si>
    <t xml:space="preserve">INC-1067</t>
  </si>
  <si>
    <t xml:space="preserve">10/11/2023</t>
  </si>
  <si>
    <t xml:space="preserve">INC-1068</t>
  </si>
  <si>
    <t xml:space="preserve">24/12/2025</t>
  </si>
  <si>
    <t xml:space="preserve">INC-1069</t>
  </si>
  <si>
    <t xml:space="preserve">27/07/2021</t>
  </si>
  <si>
    <t xml:space="preserve">INC-1070</t>
  </si>
  <si>
    <t xml:space="preserve">10/10/2021</t>
  </si>
  <si>
    <t xml:space="preserve">INC-1071</t>
  </si>
  <si>
    <t xml:space="preserve">18/09/2026</t>
  </si>
  <si>
    <t xml:space="preserve">INC-1072</t>
  </si>
  <si>
    <t xml:space="preserve">07/02/2023</t>
  </si>
  <si>
    <t xml:space="preserve">INC-1073</t>
  </si>
  <si>
    <t xml:space="preserve">06/01/2026</t>
  </si>
  <si>
    <t xml:space="preserve">INC-1074</t>
  </si>
  <si>
    <t xml:space="preserve">20/11/2022</t>
  </si>
  <si>
    <t xml:space="preserve">INC-1075</t>
  </si>
  <si>
    <t xml:space="preserve">13/11/2021</t>
  </si>
  <si>
    <t xml:space="preserve">INC-1076</t>
  </si>
  <si>
    <t xml:space="preserve">INC-1077</t>
  </si>
  <si>
    <t xml:space="preserve">10/10/2023</t>
  </si>
  <si>
    <t xml:space="preserve">INC-1078</t>
  </si>
  <si>
    <t xml:space="preserve">12/12/2026</t>
  </si>
  <si>
    <t xml:space="preserve">INC-1079</t>
  </si>
  <si>
    <t xml:space="preserve">06/07/2023</t>
  </si>
  <si>
    <t xml:space="preserve">INC-1080</t>
  </si>
  <si>
    <t xml:space="preserve">20/04/2023</t>
  </si>
  <si>
    <t xml:space="preserve">INC-1081</t>
  </si>
  <si>
    <t xml:space="preserve">24/10/2024</t>
  </si>
  <si>
    <t xml:space="preserve">INC-1082</t>
  </si>
  <si>
    <t xml:space="preserve">26/11/2025</t>
  </si>
  <si>
    <t xml:space="preserve">INC-1083</t>
  </si>
  <si>
    <t xml:space="preserve">15/09/2025</t>
  </si>
  <si>
    <t xml:space="preserve">INC-1084</t>
  </si>
  <si>
    <t xml:space="preserve">17/04/2025</t>
  </si>
  <si>
    <t xml:space="preserve">INC-1085</t>
  </si>
  <si>
    <t xml:space="preserve">28/09/2023</t>
  </si>
  <si>
    <t xml:space="preserve">INC-1086</t>
  </si>
  <si>
    <t xml:space="preserve">15/01/2025</t>
  </si>
  <si>
    <t xml:space="preserve">INC-1087</t>
  </si>
  <si>
    <t xml:space="preserve">19/01/2024</t>
  </si>
  <si>
    <t xml:space="preserve">INC-1088</t>
  </si>
  <si>
    <t xml:space="preserve">27/01/2023</t>
  </si>
  <si>
    <t xml:space="preserve">INC-1089</t>
  </si>
  <si>
    <t xml:space="preserve">14/06/2021</t>
  </si>
  <si>
    <t xml:space="preserve">INC-1090</t>
  </si>
  <si>
    <t xml:space="preserve">16/01/2021</t>
  </si>
  <si>
    <t xml:space="preserve">INC-1091</t>
  </si>
  <si>
    <t xml:space="preserve">24/11/2026</t>
  </si>
  <si>
    <t xml:space="preserve">INC-1092</t>
  </si>
  <si>
    <t xml:space="preserve">13/02/2024</t>
  </si>
  <si>
    <t xml:space="preserve">INC-1093</t>
  </si>
  <si>
    <t xml:space="preserve">06/09/2021</t>
  </si>
  <si>
    <t xml:space="preserve">INC-1094</t>
  </si>
  <si>
    <t xml:space="preserve">25/01/2021</t>
  </si>
  <si>
    <t xml:space="preserve">INC-1095</t>
  </si>
  <si>
    <t xml:space="preserve">13/04/2025</t>
  </si>
  <si>
    <t xml:space="preserve">INC-1096</t>
  </si>
  <si>
    <t xml:space="preserve">07/12/2023</t>
  </si>
  <si>
    <t xml:space="preserve">INC-1097</t>
  </si>
  <si>
    <t xml:space="preserve">03/02/2022</t>
  </si>
  <si>
    <t xml:space="preserve">INC-1098</t>
  </si>
  <si>
    <t xml:space="preserve">24/01/2022</t>
  </si>
  <si>
    <t xml:space="preserve">INC-1099</t>
  </si>
  <si>
    <t xml:space="preserve">05/09/2021</t>
  </si>
  <si>
    <t xml:space="preserve">INC-1100</t>
  </si>
  <si>
    <t xml:space="preserve">10/03/2022</t>
  </si>
  <si>
    <t xml:space="preserve">INC-1101</t>
  </si>
  <si>
    <t xml:space="preserve">09/01/2023</t>
  </si>
  <si>
    <t xml:space="preserve">INC-1102</t>
  </si>
  <si>
    <t xml:space="preserve">16/01/2025</t>
  </si>
  <si>
    <t xml:space="preserve">INC-1103</t>
  </si>
  <si>
    <t xml:space="preserve">14/07/2026</t>
  </si>
  <si>
    <t xml:space="preserve">INC-1104</t>
  </si>
  <si>
    <t xml:space="preserve">28/04/2022</t>
  </si>
  <si>
    <t xml:space="preserve">INC-1105</t>
  </si>
  <si>
    <t xml:space="preserve">18/07/2021</t>
  </si>
  <si>
    <t xml:space="preserve">INC-1106</t>
  </si>
  <si>
    <t xml:space="preserve">08/05/2024</t>
  </si>
  <si>
    <t xml:space="preserve">INC-1107</t>
  </si>
  <si>
    <t xml:space="preserve">03/09/2023</t>
  </si>
  <si>
    <t xml:space="preserve">INC-1108</t>
  </si>
  <si>
    <t xml:space="preserve">INC-1109</t>
  </si>
  <si>
    <t xml:space="preserve">INC-1110</t>
  </si>
  <si>
    <t xml:space="preserve">04/12/2026</t>
  </si>
  <si>
    <t xml:space="preserve">INC-1111</t>
  </si>
  <si>
    <t xml:space="preserve">08/09/2024</t>
  </si>
  <si>
    <t xml:space="preserve">INC-1112</t>
  </si>
  <si>
    <t xml:space="preserve">09/06/2023</t>
  </si>
  <si>
    <t xml:space="preserve">INC-1113</t>
  </si>
  <si>
    <t xml:space="preserve">16/06/2026</t>
  </si>
  <si>
    <t xml:space="preserve">INC-1114</t>
  </si>
  <si>
    <t xml:space="preserve">19/04/2021</t>
  </si>
  <si>
    <t xml:space="preserve">INC-1115</t>
  </si>
  <si>
    <t xml:space="preserve">19/10/2025</t>
  </si>
  <si>
    <t xml:space="preserve">INC-1116</t>
  </si>
  <si>
    <t xml:space="preserve">08/07/2023</t>
  </si>
  <si>
    <t xml:space="preserve">INC-1117</t>
  </si>
  <si>
    <t xml:space="preserve">25/08/2023</t>
  </si>
  <si>
    <t xml:space="preserve">INC-1118</t>
  </si>
  <si>
    <t xml:space="preserve">24/06/2022</t>
  </si>
  <si>
    <t xml:space="preserve">INC-1119</t>
  </si>
  <si>
    <t xml:space="preserve">21/01/2025</t>
  </si>
  <si>
    <t xml:space="preserve">INC-1120</t>
  </si>
  <si>
    <t xml:space="preserve">INC-1121</t>
  </si>
  <si>
    <t xml:space="preserve">07/09/2021</t>
  </si>
  <si>
    <t xml:space="preserve">INC-1122</t>
  </si>
  <si>
    <t xml:space="preserve">01/09/2021</t>
  </si>
  <si>
    <t xml:space="preserve">INC-1123</t>
  </si>
  <si>
    <t xml:space="preserve">24/05/2025</t>
  </si>
  <si>
    <t xml:space="preserve">INC-1124</t>
  </si>
  <si>
    <t xml:space="preserve">04/02/2022</t>
  </si>
  <si>
    <t xml:space="preserve">INC-1125</t>
  </si>
  <si>
    <t xml:space="preserve">17/05/2025</t>
  </si>
  <si>
    <t xml:space="preserve">INC-1126</t>
  </si>
  <si>
    <t xml:space="preserve">13/08/2023</t>
  </si>
  <si>
    <t xml:space="preserve">INC-1127</t>
  </si>
  <si>
    <t xml:space="preserve">28/11/2026</t>
  </si>
  <si>
    <t xml:space="preserve">INC-1128</t>
  </si>
  <si>
    <t xml:space="preserve">18/08/2024</t>
  </si>
  <si>
    <t xml:space="preserve">INC-1129</t>
  </si>
  <si>
    <t xml:space="preserve">28/07/2024</t>
  </si>
  <si>
    <t xml:space="preserve">INC-1130</t>
  </si>
  <si>
    <t xml:space="preserve">02/04/2025</t>
  </si>
  <si>
    <t xml:space="preserve">INC-1131</t>
  </si>
  <si>
    <t xml:space="preserve">03/11/2021</t>
  </si>
  <si>
    <t xml:space="preserve">INC-1132</t>
  </si>
  <si>
    <t xml:space="preserve">28/06/2022</t>
  </si>
  <si>
    <t xml:space="preserve">INC-1133</t>
  </si>
  <si>
    <t xml:space="preserve">27/07/2026</t>
  </si>
  <si>
    <t xml:space="preserve">INC-1134</t>
  </si>
  <si>
    <t xml:space="preserve">27/07/2025</t>
  </si>
  <si>
    <t xml:space="preserve">INC-1135</t>
  </si>
  <si>
    <t xml:space="preserve">24/02/2026</t>
  </si>
  <si>
    <t xml:space="preserve">INC-1136</t>
  </si>
  <si>
    <t xml:space="preserve">14/04/2021</t>
  </si>
  <si>
    <t xml:space="preserve">INC-1137</t>
  </si>
  <si>
    <t xml:space="preserve">01/11/2023</t>
  </si>
  <si>
    <t xml:space="preserve">INC-1138</t>
  </si>
  <si>
    <t xml:space="preserve">13/07/2025</t>
  </si>
  <si>
    <t xml:space="preserve">INC-1139</t>
  </si>
  <si>
    <t xml:space="preserve">25/10/2021</t>
  </si>
  <si>
    <t xml:space="preserve">INC-1140</t>
  </si>
  <si>
    <t xml:space="preserve">05/07/2023</t>
  </si>
  <si>
    <t xml:space="preserve">INC-1141</t>
  </si>
  <si>
    <t xml:space="preserve">12/02/2023</t>
  </si>
  <si>
    <t xml:space="preserve">Maintenance Procedure</t>
  </si>
  <si>
    <t xml:space="preserve">Adding a new Country:</t>
  </si>
  <si>
    <t xml:space="preserve">  1. Add the country name to the dropdown list on the Home sheet (data validation source).</t>
  </si>
  <si>
    <t xml:space="preserve">  2. Add one row per existing Catalog # to Country Registrations, filled in with that</t>
  </si>
  <si>
    <t xml:space="preserve">     country's registration class, rule, name, number, and dates.</t>
  </si>
  <si>
    <t xml:space="preserve">  3. No changes are needed on Master Catalog, PBS, or any RIL sheet — those are</t>
  </si>
  <si>
    <t xml:space="preserve">     country-independent.</t>
  </si>
  <si>
    <t xml:space="preserve">Adding a new System:</t>
  </si>
  <si>
    <t xml:space="preserve">  1. Add the system name to the dropdown list on the Home sheet.</t>
  </si>
  <si>
    <t xml:space="preserve">  2. Add its catalog items to Master Catalog, tagging each with the System name and a</t>
  </si>
  <si>
    <t xml:space="preserve">     sequential 'System Seq' number (1, 2, 3, ...) — the Key column builds itself from those.</t>
  </si>
  <si>
    <t xml:space="preserve">  3. Add a column for the new system on PBS and mark which catalog items belong to it.</t>
  </si>
  <si>
    <t xml:space="preserve">  4. Add a matching row per catalog item, per existing country, to Country Registrations.</t>
  </si>
  <si>
    <t xml:space="preserve">  5. Duplicate an existing 'RIL - &lt;System&gt;' tab, rename it, and clear the incident rows —</t>
  </si>
  <si>
    <t xml:space="preserve">     it will already be wired to accept new incident entries.</t>
  </si>
  <si>
    <t xml:space="preserve">  6. Log incidents for the new system in both Master RIL and its own RIL tab as they occur.</t>
  </si>
  <si>
    <t xml:space="preserve">Adding a new Catalog Item to an existing System:</t>
  </si>
  <si>
    <t xml:space="preserve">  1. Add a row to Master Catalog with the next System Seq number for that system.</t>
  </si>
  <si>
    <t xml:space="preserve">  2. Add a row to Country Registrations for each country already tracked.</t>
  </si>
  <si>
    <t xml:space="preserve">  3. Mark it on PBS under its system's column.</t>
  </si>
  <si>
    <t xml:space="preserve">This structure is what lets one workbook stand in for N countries x M systems of</t>
  </si>
  <si>
    <t xml:space="preserve">spreadsheets: every sheet keys off Catalog # and/or Country, so growth in either</t>
  </si>
  <si>
    <t xml:space="preserve">dimension is additive rather than requiring a new file.</t>
  </si>
  <si>
    <t xml:space="preserve">Field Mapping</t>
  </si>
  <si>
    <t xml:space="preserve">Add a row here for every label the source text can contain, for every document type.</t>
  </si>
  <si>
    <t xml:space="preserve">The parser is generic: it does not know about any document type until you tell it here.</t>
  </si>
  <si>
    <t xml:space="preserve">Document Type</t>
  </si>
  <si>
    <t xml:space="preserve">Source Label (as it appears in extracted text)</t>
  </si>
  <si>
    <t xml:space="preserve">Destination Sheet</t>
  </si>
  <si>
    <t xml:space="preserve">Destination Column</t>
  </si>
  <si>
    <t xml:space="preserve">Catalog Spec Sheet</t>
  </si>
  <si>
    <t xml:space="preserve">Catalog Number</t>
  </si>
  <si>
    <t xml:space="preserve">Master Catalog</t>
  </si>
  <si>
    <t xml:space="preserve">B</t>
  </si>
  <si>
    <t xml:space="preserve">C</t>
  </si>
  <si>
    <t xml:space="preserve">UDI</t>
  </si>
  <si>
    <t xml:space="preserve">D</t>
  </si>
  <si>
    <t xml:space="preserve">Drawing Number</t>
  </si>
  <si>
    <t xml:space="preserve">E</t>
  </si>
  <si>
    <t xml:space="preserve">G</t>
  </si>
  <si>
    <t xml:space="preserve">Registration Certificate</t>
  </si>
  <si>
    <t xml:space="preserve">Country Registrations</t>
  </si>
  <si>
    <t xml:space="preserve">A</t>
  </si>
  <si>
    <t xml:space="preserve">F</t>
  </si>
  <si>
    <t xml:space="preserve">H</t>
  </si>
  <si>
    <t xml:space="preserve">Incident Report</t>
  </si>
  <si>
    <t xml:space="preserve">Master RIL</t>
  </si>
  <si>
    <t xml:space="preserve">Paste &amp; Parse</t>
  </si>
  <si>
    <t xml:space="preserve">Paste text copied out of a PDF or a text-extraction tool below. The macro (see VBA add-on) reads it, splits each 'Label: Value' line, looks the label up in Field Mapping, and stages it for insertion into the right sheet and column.</t>
  </si>
  <si>
    <t xml:space="preserve">Document Type:</t>
  </si>
  <si>
    <t xml:space="preserve">Paste raw extracted text here (one 'Label: Value' pair per line):</t>
  </si>
  <si>
    <t xml:space="preserve">Catalog Number: TRL-110-1
Description: Screw, 2.4mm x 24mm, Trellis family
UDI: 00812345678
Drawing Number: DRW-55210-01
Material: Ti 6Al-4V ELI
[example — replace with text pasted from your own PDF/extractor output]</t>
  </si>
  <si>
    <t xml:space="preserve">Run: Alt+F8 -&gt; ParseAndFill (stages rows below) -&gt; review -&gt; Alt+F8 -&gt; InsertParsedRow (writes them in).</t>
  </si>
  <si>
    <t xml:space="preserve">Field</t>
  </si>
  <si>
    <t xml:space="preserve">Value</t>
  </si>
  <si>
    <t xml:space="preserve">Destination Cell</t>
  </si>
  <si>
    <t xml:space="preserve">B17</t>
  </si>
  <si>
    <t xml:space="preserve">Ready to insert</t>
  </si>
  <si>
    <t xml:space="preserve">C17</t>
  </si>
  <si>
    <t xml:space="preserve">00812345678</t>
  </si>
  <si>
    <t xml:space="preserve">D17</t>
  </si>
  <si>
    <t xml:space="preserve">DRW-55210-01</t>
  </si>
  <si>
    <t xml:space="preserve">E17</t>
  </si>
  <si>
    <t xml:space="preserve">G17</t>
  </si>
  <si>
    <t xml:space="preserve">(Example of what the preview table looks like after running ParseAndFill in Excel with the VBA add-on loaded — illustrative only; this .xlsx has no macros attached, so the table above is a static example, not live output.)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</si>
</sst>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7" min="6" style="0" width="1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8" customFormat="false" ht="15" hidden="false" customHeight="false" outlineLevel="0" collapsed="false">
      <c r="B8" s="5" t="s">
        <v>6</v>
      </c>
    </row>
    <row r="9" customFormat="false" ht="15" hidden="false" customHeight="false" outlineLevel="0" collapsed="false"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</row>
    <row r="10" customFormat="false" ht="15" hidden="false" customHeight="false" outlineLevel="0" collapsed="false">
      <c r="B10" s="7" t="str">
        <f aca="false">IFERROR(INDEX('Master Catalog'!$B$2:$B$41,MATCH($C$6&amp;"|"&amp;1,'Master Catalog'!$L$2:$L$41,0)),"")</f>
        <v>TRL-110-1</v>
      </c>
      <c r="C10" s="7" t="str">
        <f aca="false">IFERROR(INDEX('Master Catalog'!$C$2:$C$41,MATCH($B10,'Master Catalog'!$B$2:$B$41,0)),"")</f>
        <v>Screw, 2.4mm x 24mm, Trellis family</v>
      </c>
      <c r="D10" s="7" t="str">
        <f aca="false">IFERROR(INDEX('Country Registrations'!$E$2:$E$201,MATCH($C$5&amp;"|"&amp;$B10,'Country Registrations'!$I$2:$I$201,0)),"")</f>
        <v>Trellis Forearm System - USA Registration</v>
      </c>
      <c r="E10" s="7" t="str">
        <f aca="false">IFERROR(INDEX('Country Registrations'!$F$2:$F$201,MATCH($C$5&amp;"|"&amp;$B10,'Country Registrations'!$I$2:$I$201,0)),"")</f>
        <v>K109444</v>
      </c>
      <c r="F10" s="7" t="str">
        <f aca="false">IFERROR(INDEX('Country Registrations'!$G$2:$G$201,MATCH($C$5&amp;"|"&amp;$B10,'Country Registrations'!$I$2:$I$201,0)),"")</f>
        <v>05/01/2019</v>
      </c>
      <c r="G10" s="7" t="str">
        <f aca="false">IFERROR(INDEX('Country Registrations'!$H$2:$H$201,MATCH($C$5&amp;"|"&amp;$B10,'Country Registrations'!$I$2:$I$201,0)),"")</f>
        <v>N/A</v>
      </c>
    </row>
    <row r="11" customFormat="false" ht="15" hidden="false" customHeight="false" outlineLevel="0" collapsed="false">
      <c r="B11" s="7" t="str">
        <f aca="false">IFERROR(INDEX('Master Catalog'!$B$2:$B$41,MATCH($C$6&amp;"|"&amp;2,'Master Catalog'!$L$2:$L$41,0)),"")</f>
        <v>TRL-120-2</v>
      </c>
      <c r="C11" s="7" t="str">
        <f aca="false">IFERROR(INDEX('Master Catalog'!$C$2:$C$41,MATCH($B11,'Master Catalog'!$B$2:$B$41,0)),"")</f>
        <v>Instrument, 2.4mm x 10mm, Trellis family</v>
      </c>
      <c r="D11" s="7" t="str">
        <f aca="false">IFERROR(INDEX('Country Registrations'!$E$2:$E$201,MATCH($C$5&amp;"|"&amp;$B11,'Country Registrations'!$I$2:$I$201,0)),"")</f>
        <v>Trellis Forearm System - USA Registration</v>
      </c>
      <c r="E11" s="7" t="str">
        <f aca="false">IFERROR(INDEX('Country Registrations'!$F$2:$F$201,MATCH($C$5&amp;"|"&amp;$B11,'Country Registrations'!$I$2:$I$201,0)),"")</f>
        <v>K158309</v>
      </c>
      <c r="F11" s="7" t="str">
        <f aca="false">IFERROR(INDEX('Country Registrations'!$G$2:$G$201,MATCH($C$5&amp;"|"&amp;$B11,'Country Registrations'!$I$2:$I$201,0)),"")</f>
        <v>10/04/2017</v>
      </c>
      <c r="G11" s="7" t="str">
        <f aca="false">IFERROR(INDEX('Country Registrations'!$H$2:$H$201,MATCH($C$5&amp;"|"&amp;$B11,'Country Registrations'!$I$2:$I$201,0)),"")</f>
        <v>N/A</v>
      </c>
    </row>
    <row r="12" customFormat="false" ht="15" hidden="false" customHeight="false" outlineLevel="0" collapsed="false">
      <c r="B12" s="7" t="str">
        <f aca="false">IFERROR(INDEX('Master Catalog'!$B$2:$B$41,MATCH($C$6&amp;"|"&amp;3,'Master Catalog'!$L$2:$L$41,0)),"")</f>
        <v>TRL-130-3</v>
      </c>
      <c r="C12" s="7" t="str">
        <f aca="false">IFERROR(INDEX('Master Catalog'!$C$2:$C$41,MATCH($B12,'Master Catalog'!$B$2:$B$41,0)),"")</f>
        <v>Plate, 4.0mm x 20mm, Trellis family</v>
      </c>
      <c r="D12" s="7" t="str">
        <f aca="false">IFERROR(INDEX('Country Registrations'!$E$2:$E$201,MATCH($C$5&amp;"|"&amp;$B12,'Country Registrations'!$I$2:$I$201,0)),"")</f>
        <v>Trellis Forearm System - USA Registration</v>
      </c>
      <c r="E12" s="7" t="str">
        <f aca="false">IFERROR(INDEX('Country Registrations'!$F$2:$F$201,MATCH($C$5&amp;"|"&amp;$B12,'Country Registrations'!$I$2:$I$201,0)),"")</f>
        <v>K214309</v>
      </c>
      <c r="F12" s="7" t="str">
        <f aca="false">IFERROR(INDEX('Country Registrations'!$G$2:$G$201,MATCH($C$5&amp;"|"&amp;$B12,'Country Registrations'!$I$2:$I$201,0)),"")</f>
        <v>14/02/2014</v>
      </c>
      <c r="G12" s="7" t="str">
        <f aca="false">IFERROR(INDEX('Country Registrations'!$H$2:$H$201,MATCH($C$5&amp;"|"&amp;$B12,'Country Registrations'!$I$2:$I$201,0)),"")</f>
        <v>N/A</v>
      </c>
    </row>
    <row r="13" customFormat="false" ht="15" hidden="false" customHeight="false" outlineLevel="0" collapsed="false">
      <c r="B13" s="7" t="str">
        <f aca="false">IFERROR(INDEX('Master Catalog'!$B$2:$B$41,MATCH($C$6&amp;"|"&amp;4,'Master Catalog'!$L$2:$L$41,0)),"")</f>
        <v>TRL-140-4</v>
      </c>
      <c r="C13" s="7" t="str">
        <f aca="false">IFERROR(INDEX('Master Catalog'!$C$2:$C$41,MATCH($B13,'Master Catalog'!$B$2:$B$41,0)),"")</f>
        <v>Plate, 2.7mm x 14mm, Trellis family</v>
      </c>
      <c r="D13" s="7" t="str">
        <f aca="false">IFERROR(INDEX('Country Registrations'!$E$2:$E$201,MATCH($C$5&amp;"|"&amp;$B13,'Country Registrations'!$I$2:$I$201,0)),"")</f>
        <v>Trellis Forearm System - USA Registration</v>
      </c>
      <c r="E13" s="7" t="str">
        <f aca="false">IFERROR(INDEX('Country Registrations'!$F$2:$F$201,MATCH($C$5&amp;"|"&amp;$B13,'Country Registrations'!$I$2:$I$201,0)),"")</f>
        <v>K184475</v>
      </c>
      <c r="F13" s="7" t="str">
        <f aca="false">IFERROR(INDEX('Country Registrations'!$G$2:$G$201,MATCH($C$5&amp;"|"&amp;$B13,'Country Registrations'!$I$2:$I$201,0)),"")</f>
        <v>22/04/2021</v>
      </c>
      <c r="G13" s="7" t="str">
        <f aca="false">IFERROR(INDEX('Country Registrations'!$H$2:$H$201,MATCH($C$5&amp;"|"&amp;$B13,'Country Registrations'!$I$2:$I$201,0)),"")</f>
        <v>N/A</v>
      </c>
    </row>
    <row r="14" customFormat="false" ht="15" hidden="false" customHeight="false" outlineLevel="0" collapsed="false">
      <c r="B14" s="7" t="str">
        <f aca="false">IFERROR(INDEX('Master Catalog'!$B$2:$B$41,MATCH($C$6&amp;"|"&amp;5,'Master Catalog'!$L$2:$L$41,0)),"")</f>
        <v>TRL-150-5</v>
      </c>
      <c r="C14" s="7" t="str">
        <f aca="false">IFERROR(INDEX('Master Catalog'!$C$2:$C$41,MATCH($B14,'Master Catalog'!$B$2:$B$41,0)),"")</f>
        <v>Other, 2.4mm x 24mm, Trellis family</v>
      </c>
      <c r="D14" s="7" t="str">
        <f aca="false">IFERROR(INDEX('Country Registrations'!$E$2:$E$201,MATCH($C$5&amp;"|"&amp;$B14,'Country Registrations'!$I$2:$I$201,0)),"")</f>
        <v>Trellis Forearm System - USA Registration</v>
      </c>
      <c r="E14" s="7" t="str">
        <f aca="false">IFERROR(INDEX('Country Registrations'!$F$2:$F$201,MATCH($C$5&amp;"|"&amp;$B14,'Country Registrations'!$I$2:$I$201,0)),"")</f>
        <v>K101453</v>
      </c>
      <c r="F14" s="7" t="str">
        <f aca="false">IFERROR(INDEX('Country Registrations'!$G$2:$G$201,MATCH($C$5&amp;"|"&amp;$B14,'Country Registrations'!$I$2:$I$201,0)),"")</f>
        <v>06/12/2015</v>
      </c>
      <c r="G14" s="7" t="str">
        <f aca="false">IFERROR(INDEX('Country Registrations'!$H$2:$H$201,MATCH($C$5&amp;"|"&amp;$B14,'Country Registrations'!$I$2:$I$201,0)),"")</f>
        <v>N/A</v>
      </c>
    </row>
    <row r="15" customFormat="false" ht="15" hidden="false" customHeight="false" outlineLevel="0" collapsed="false">
      <c r="B15" s="7" t="str">
        <f aca="false">IFERROR(INDEX('Master Catalog'!$B$2:$B$41,MATCH($C$6&amp;"|"&amp;6,'Master Catalog'!$L$2:$L$41,0)),"")</f>
        <v>TRL-160-6</v>
      </c>
      <c r="C15" s="7" t="str">
        <f aca="false">IFERROR(INDEX('Master Catalog'!$C$2:$C$41,MATCH($B15,'Master Catalog'!$B$2:$B$41,0)),"")</f>
        <v>Other, 4.5mm x 12mm, Trellis family</v>
      </c>
      <c r="D15" s="7" t="str">
        <f aca="false">IFERROR(INDEX('Country Registrations'!$E$2:$E$201,MATCH($C$5&amp;"|"&amp;$B15,'Country Registrations'!$I$2:$I$201,0)),"")</f>
        <v>Trellis Forearm System - USA Registration</v>
      </c>
      <c r="E15" s="7" t="str">
        <f aca="false">IFERROR(INDEX('Country Registrations'!$F$2:$F$201,MATCH($C$5&amp;"|"&amp;$B15,'Country Registrations'!$I$2:$I$201,0)),"")</f>
        <v>K174901</v>
      </c>
      <c r="F15" s="7" t="str">
        <f aca="false">IFERROR(INDEX('Country Registrations'!$G$2:$G$201,MATCH($C$5&amp;"|"&amp;$B15,'Country Registrations'!$I$2:$I$201,0)),"")</f>
        <v>11/09/2017</v>
      </c>
      <c r="G15" s="7" t="str">
        <f aca="false">IFERROR(INDEX('Country Registrations'!$H$2:$H$201,MATCH($C$5&amp;"|"&amp;$B15,'Country Registrations'!$I$2:$I$201,0)),"")</f>
        <v>N/A</v>
      </c>
    </row>
    <row r="16" customFormat="false" ht="15" hidden="false" customHeight="false" outlineLevel="0" collapsed="false">
      <c r="B16" s="7" t="str">
        <f aca="false">IFERROR(INDEX('Master Catalog'!$B$2:$B$41,MATCH($C$6&amp;"|"&amp;7,'Master Catalog'!$L$2:$L$41,0)),"")</f>
        <v>TRL-170-7</v>
      </c>
      <c r="C16" s="7" t="str">
        <f aca="false">IFERROR(INDEX('Master Catalog'!$C$2:$C$41,MATCH($B16,'Master Catalog'!$B$2:$B$41,0)),"")</f>
        <v>Plate, 2.4mm x 16mm, Trellis family</v>
      </c>
      <c r="D16" s="7" t="str">
        <f aca="false">IFERROR(INDEX('Country Registrations'!$E$2:$E$201,MATCH($C$5&amp;"|"&amp;$B16,'Country Registrations'!$I$2:$I$201,0)),"")</f>
        <v>Trellis Forearm System - USA Registration</v>
      </c>
      <c r="E16" s="7" t="str">
        <f aca="false">IFERROR(INDEX('Country Registrations'!$F$2:$F$201,MATCH($C$5&amp;"|"&amp;$B16,'Country Registrations'!$I$2:$I$201,0)),"")</f>
        <v>K157812</v>
      </c>
      <c r="F16" s="7" t="str">
        <f aca="false">IFERROR(INDEX('Country Registrations'!$G$2:$G$201,MATCH($C$5&amp;"|"&amp;$B16,'Country Registrations'!$I$2:$I$201,0)),"")</f>
        <v>14/08/2021</v>
      </c>
      <c r="G16" s="7" t="str">
        <f aca="false">IFERROR(INDEX('Country Registrations'!$H$2:$H$201,MATCH($C$5&amp;"|"&amp;$B16,'Country Registrations'!$I$2:$I$201,0)),"")</f>
        <v>N/A</v>
      </c>
    </row>
    <row r="17" customFormat="false" ht="15" hidden="false" customHeight="false" outlineLevel="0" collapsed="false">
      <c r="B17" s="7" t="str">
        <f aca="false">IFERROR(INDEX('Master Catalog'!$B$2:$B$41,MATCH($C$6&amp;"|"&amp;8,'Master Catalog'!$L$2:$L$41,0)),"")</f>
        <v>TRL-180-8</v>
      </c>
      <c r="C17" s="7" t="str">
        <f aca="false">IFERROR(INDEX('Master Catalog'!$C$2:$C$41,MATCH($B17,'Master Catalog'!$B$2:$B$41,0)),"")</f>
        <v>Plate, 3.5mm x 24mm, Trellis family</v>
      </c>
      <c r="D17" s="7" t="str">
        <f aca="false">IFERROR(INDEX('Country Registrations'!$E$2:$E$201,MATCH($C$5&amp;"|"&amp;$B17,'Country Registrations'!$I$2:$I$201,0)),"")</f>
        <v>Trellis Forearm System - USA Registration</v>
      </c>
      <c r="E17" s="7" t="str">
        <f aca="false">IFERROR(INDEX('Country Registrations'!$F$2:$F$201,MATCH($C$5&amp;"|"&amp;$B17,'Country Registrations'!$I$2:$I$201,0)),"")</f>
        <v>K166131</v>
      </c>
      <c r="F17" s="7" t="str">
        <f aca="false">IFERROR(INDEX('Country Registrations'!$G$2:$G$201,MATCH($C$5&amp;"|"&amp;$B17,'Country Registrations'!$I$2:$I$201,0)),"")</f>
        <v>24/09/2015</v>
      </c>
      <c r="G17" s="7" t="str">
        <f aca="false">IFERROR(INDEX('Country Registrations'!$H$2:$H$201,MATCH($C$5&amp;"|"&amp;$B17,'Country Registrations'!$I$2:$I$201,0)),"")</f>
        <v>N/A</v>
      </c>
    </row>
    <row r="19" customFormat="false" ht="15" hidden="false" customHeight="false" outlineLevel="0" collapsed="false">
      <c r="B19" s="5" t="s">
        <v>13</v>
      </c>
      <c r="E19" s="8" t="n">
        <f aca="false">COUNTIFS('Master RIL'!$C$2:$C$142,$C$6,'Master RIL'!$H$2:$H$142,"Under Investigation")</f>
        <v>12</v>
      </c>
    </row>
  </sheetData>
  <dataValidations count="2">
    <dataValidation allowBlank="false" errorStyle="stop" operator="between" showDropDown="false" showErrorMessage="false" showInputMessage="false" sqref="C5" type="list">
      <formula1>"USA,Germany,Brazil,Japan,Australia"</formula1>
      <formula2>0</formula2>
    </dataValidation>
    <dataValidation allowBlank="false" errorStyle="stop" operator="between" showDropDown="false" showErrorMessage="false" showInputMessage="false" sqref="C6" type="list">
      <formula1>"Trellis Forearm System,Voltix Plating System,Anchorix Suture System,Radiant Nail System,Corvid Fragment System"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14</v>
      </c>
    </row>
    <row r="3" customFormat="false" ht="15" hidden="false" customHeight="false" outlineLevel="0" collapsed="false">
      <c r="B3" s="2" t="s">
        <v>15</v>
      </c>
    </row>
    <row r="4" customFormat="false" ht="15" hidden="false" customHeight="false" outlineLevel="0" collapsed="false">
      <c r="B4" s="2" t="s">
        <v>16</v>
      </c>
    </row>
    <row r="6" customFormat="false" ht="15" hidden="false" customHeight="false" outlineLevel="0" collapsed="false">
      <c r="B6" s="9"/>
    </row>
    <row r="7" customFormat="false" ht="15" hidden="false" customHeight="false" outlineLevel="0" collapsed="false">
      <c r="B7" s="9" t="s">
        <v>17</v>
      </c>
    </row>
    <row r="8" customFormat="false" ht="15" hidden="false" customHeight="false" outlineLevel="0" collapsed="false">
      <c r="B8" s="9" t="s">
        <v>18</v>
      </c>
    </row>
    <row r="9" customFormat="false" ht="15" hidden="false" customHeight="false" outlineLevel="0" collapsed="false">
      <c r="B9" s="9" t="s">
        <v>19</v>
      </c>
    </row>
    <row r="10" customFormat="false" ht="15" hidden="false" customHeight="false" outlineLevel="0" collapsed="false">
      <c r="B10" s="9" t="s">
        <v>20</v>
      </c>
    </row>
    <row r="11" customFormat="false" ht="15" hidden="false" customHeight="false" outlineLevel="0" collapsed="false">
      <c r="B11" s="9" t="s">
        <v>21</v>
      </c>
    </row>
    <row r="12" customFormat="false" ht="15" hidden="false" customHeight="false" outlineLevel="0" collapsed="false">
      <c r="B12" s="9" t="s">
        <v>22</v>
      </c>
    </row>
    <row r="13" customFormat="false" ht="15" hidden="false" customHeight="false" outlineLevel="0" collapsed="false">
      <c r="B13" s="9" t="s">
        <v>23</v>
      </c>
    </row>
    <row r="14" customFormat="false" ht="15" hidden="false" customHeight="false" outlineLevel="0" collapsed="false">
      <c r="B14" s="9"/>
    </row>
    <row r="15" customFormat="false" ht="15" hidden="false" customHeight="false" outlineLevel="0" collapsed="false">
      <c r="B15" s="9" t="s">
        <v>24</v>
      </c>
    </row>
    <row r="16" customFormat="false" ht="15" hidden="false" customHeight="false" outlineLevel="0" collapsed="false">
      <c r="B16" s="9" t="s">
        <v>25</v>
      </c>
    </row>
    <row r="17" customFormat="false" ht="15" hidden="false" customHeight="false" outlineLevel="0" collapsed="false">
      <c r="B17" s="9" t="s">
        <v>26</v>
      </c>
    </row>
    <row r="18" customFormat="false" ht="15" hidden="false" customHeight="false" outlineLevel="0" collapsed="false">
      <c r="B18" s="9" t="s">
        <v>27</v>
      </c>
    </row>
    <row r="19" customFormat="false" ht="15" hidden="false" customHeight="false" outlineLevel="0" collapsed="false">
      <c r="B19" s="9" t="s">
        <v>28</v>
      </c>
    </row>
    <row r="20" customFormat="false" ht="15" hidden="false" customHeight="false" outlineLevel="0" collapsed="false">
      <c r="B20" s="9" t="s">
        <v>29</v>
      </c>
    </row>
    <row r="21" customFormat="false" ht="15" hidden="false" customHeight="false" outlineLevel="0" collapsed="false">
      <c r="B21" s="9" t="s">
        <v>30</v>
      </c>
    </row>
    <row r="22" customFormat="false" ht="15" hidden="false" customHeight="false" outlineLevel="0" collapsed="false">
      <c r="B22" s="9" t="s">
        <v>31</v>
      </c>
    </row>
    <row r="23" customFormat="false" ht="15" hidden="false" customHeight="false" outlineLevel="0" collapsed="false">
      <c r="B23" s="9" t="s">
        <v>32</v>
      </c>
    </row>
    <row r="24" customFormat="false" ht="15" hidden="false" customHeight="false" outlineLevel="0" collapsed="false">
      <c r="B24" s="9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9"/>
    <col collapsed="false" customWidth="true" hidden="false" outlineLevel="0" max="10" min="10" style="0" width="24"/>
    <col collapsed="false" customWidth="true" hidden="false" outlineLevel="0" max="11" min="11" style="0" width="9"/>
    <col collapsed="false" customWidth="true" hidden="false" outlineLevel="0" max="12" min="12" style="0" width="20"/>
  </cols>
  <sheetData>
    <row r="1" customFormat="false" ht="23.85" hidden="false" customHeight="false" outlineLevel="0" collapsed="false">
      <c r="A1" s="6" t="s">
        <v>34</v>
      </c>
      <c r="B1" s="6" t="s">
        <v>7</v>
      </c>
      <c r="C1" s="6" t="s">
        <v>8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</row>
    <row r="2" customFormat="false" ht="15" hidden="false" customHeight="false" outlineLevel="0" collapsed="false">
      <c r="A2" s="7" t="s">
        <v>44</v>
      </c>
      <c r="B2" s="7" t="s">
        <v>45</v>
      </c>
      <c r="C2" s="7" t="s">
        <v>46</v>
      </c>
      <c r="D2" s="7" t="s">
        <v>47</v>
      </c>
      <c r="E2" s="7" t="s">
        <v>48</v>
      </c>
      <c r="F2" s="7" t="s">
        <v>49</v>
      </c>
      <c r="G2" s="7" t="s">
        <v>50</v>
      </c>
      <c r="H2" s="7" t="s">
        <v>51</v>
      </c>
      <c r="I2" s="7" t="s">
        <v>51</v>
      </c>
      <c r="J2" s="7" t="s">
        <v>5</v>
      </c>
      <c r="K2" s="7" t="n">
        <v>1</v>
      </c>
      <c r="L2" s="7" t="str">
        <f aca="false">J2&amp;"|"&amp;K2</f>
        <v>Trellis Forearm System|1</v>
      </c>
    </row>
    <row r="3" customFormat="false" ht="15" hidden="false" customHeight="false" outlineLevel="0" collapsed="false">
      <c r="A3" s="7" t="s">
        <v>52</v>
      </c>
      <c r="B3" s="7" t="s">
        <v>53</v>
      </c>
      <c r="C3" s="7" t="s">
        <v>54</v>
      </c>
      <c r="D3" s="7" t="s">
        <v>55</v>
      </c>
      <c r="E3" s="7" t="s">
        <v>56</v>
      </c>
      <c r="F3" s="7" t="s">
        <v>57</v>
      </c>
      <c r="G3" s="7" t="s">
        <v>58</v>
      </c>
      <c r="H3" s="7" t="s">
        <v>51</v>
      </c>
      <c r="I3" s="7" t="s">
        <v>59</v>
      </c>
      <c r="J3" s="7" t="s">
        <v>5</v>
      </c>
      <c r="K3" s="7" t="n">
        <v>2</v>
      </c>
      <c r="L3" s="7" t="str">
        <f aca="false">J3&amp;"|"&amp;K3</f>
        <v>Trellis Forearm System|2</v>
      </c>
    </row>
    <row r="4" customFormat="false" ht="15" hidden="false" customHeight="false" outlineLevel="0" collapsed="false">
      <c r="A4" s="7" t="s">
        <v>60</v>
      </c>
      <c r="B4" s="7" t="s">
        <v>61</v>
      </c>
      <c r="C4" s="7" t="s">
        <v>62</v>
      </c>
      <c r="D4" s="7" t="s">
        <v>63</v>
      </c>
      <c r="E4" s="7" t="s">
        <v>64</v>
      </c>
      <c r="F4" s="7" t="s">
        <v>65</v>
      </c>
      <c r="G4" s="7" t="s">
        <v>66</v>
      </c>
      <c r="H4" s="7" t="s">
        <v>59</v>
      </c>
      <c r="I4" s="7" t="s">
        <v>51</v>
      </c>
      <c r="J4" s="7" t="s">
        <v>5</v>
      </c>
      <c r="K4" s="7" t="n">
        <v>3</v>
      </c>
      <c r="L4" s="7" t="str">
        <f aca="false">J4&amp;"|"&amp;K4</f>
        <v>Trellis Forearm System|3</v>
      </c>
    </row>
    <row r="5" customFormat="false" ht="15" hidden="false" customHeight="false" outlineLevel="0" collapsed="false">
      <c r="A5" s="7" t="s">
        <v>60</v>
      </c>
      <c r="B5" s="7" t="s">
        <v>67</v>
      </c>
      <c r="C5" s="7" t="s">
        <v>68</v>
      </c>
      <c r="D5" s="7" t="s">
        <v>69</v>
      </c>
      <c r="E5" s="7" t="s">
        <v>70</v>
      </c>
      <c r="F5" s="7" t="s">
        <v>71</v>
      </c>
      <c r="G5" s="7" t="s">
        <v>58</v>
      </c>
      <c r="H5" s="7" t="s">
        <v>59</v>
      </c>
      <c r="I5" s="7" t="s">
        <v>51</v>
      </c>
      <c r="J5" s="7" t="s">
        <v>5</v>
      </c>
      <c r="K5" s="7" t="n">
        <v>4</v>
      </c>
      <c r="L5" s="7" t="str">
        <f aca="false">J5&amp;"|"&amp;K5</f>
        <v>Trellis Forearm System|4</v>
      </c>
    </row>
    <row r="6" customFormat="false" ht="15" hidden="false" customHeight="false" outlineLevel="0" collapsed="false">
      <c r="A6" s="7" t="s">
        <v>72</v>
      </c>
      <c r="B6" s="7" t="s">
        <v>73</v>
      </c>
      <c r="C6" s="7" t="s">
        <v>74</v>
      </c>
      <c r="D6" s="7" t="s">
        <v>75</v>
      </c>
      <c r="E6" s="7" t="s">
        <v>76</v>
      </c>
      <c r="F6" s="7" t="s">
        <v>77</v>
      </c>
      <c r="G6" s="7" t="s">
        <v>66</v>
      </c>
      <c r="H6" s="7" t="s">
        <v>51</v>
      </c>
      <c r="I6" s="7" t="s">
        <v>51</v>
      </c>
      <c r="J6" s="7" t="s">
        <v>5</v>
      </c>
      <c r="K6" s="7" t="n">
        <v>5</v>
      </c>
      <c r="L6" s="7" t="str">
        <f aca="false">J6&amp;"|"&amp;K6</f>
        <v>Trellis Forearm System|5</v>
      </c>
    </row>
    <row r="7" customFormat="false" ht="15" hidden="false" customHeight="false" outlineLevel="0" collapsed="false">
      <c r="A7" s="7" t="s">
        <v>72</v>
      </c>
      <c r="B7" s="7" t="s">
        <v>78</v>
      </c>
      <c r="C7" s="7" t="s">
        <v>79</v>
      </c>
      <c r="D7" s="7" t="s">
        <v>80</v>
      </c>
      <c r="E7" s="7" t="s">
        <v>81</v>
      </c>
      <c r="F7" s="7" t="s">
        <v>82</v>
      </c>
      <c r="G7" s="7" t="s">
        <v>50</v>
      </c>
      <c r="H7" s="7" t="s">
        <v>59</v>
      </c>
      <c r="I7" s="7" t="s">
        <v>51</v>
      </c>
      <c r="J7" s="7" t="s">
        <v>5</v>
      </c>
      <c r="K7" s="7" t="n">
        <v>6</v>
      </c>
      <c r="L7" s="7" t="str">
        <f aca="false">J7&amp;"|"&amp;K7</f>
        <v>Trellis Forearm System|6</v>
      </c>
    </row>
    <row r="8" customFormat="false" ht="15" hidden="false" customHeight="false" outlineLevel="0" collapsed="false">
      <c r="A8" s="7" t="s">
        <v>60</v>
      </c>
      <c r="B8" s="7" t="s">
        <v>83</v>
      </c>
      <c r="C8" s="7" t="s">
        <v>84</v>
      </c>
      <c r="D8" s="7" t="s">
        <v>85</v>
      </c>
      <c r="E8" s="7" t="s">
        <v>86</v>
      </c>
      <c r="F8" s="7" t="s">
        <v>87</v>
      </c>
      <c r="G8" s="7" t="s">
        <v>50</v>
      </c>
      <c r="H8" s="7" t="s">
        <v>59</v>
      </c>
      <c r="I8" s="7" t="s">
        <v>51</v>
      </c>
      <c r="J8" s="7" t="s">
        <v>5</v>
      </c>
      <c r="K8" s="7" t="n">
        <v>7</v>
      </c>
      <c r="L8" s="7" t="str">
        <f aca="false">J8&amp;"|"&amp;K8</f>
        <v>Trellis Forearm System|7</v>
      </c>
    </row>
    <row r="9" customFormat="false" ht="15" hidden="false" customHeight="false" outlineLevel="0" collapsed="false">
      <c r="A9" s="7" t="s">
        <v>60</v>
      </c>
      <c r="B9" s="7" t="s">
        <v>88</v>
      </c>
      <c r="C9" s="7" t="s">
        <v>89</v>
      </c>
      <c r="D9" s="7" t="s">
        <v>90</v>
      </c>
      <c r="E9" s="7" t="s">
        <v>91</v>
      </c>
      <c r="F9" s="7" t="s">
        <v>92</v>
      </c>
      <c r="G9" s="7" t="s">
        <v>50</v>
      </c>
      <c r="H9" s="7" t="s">
        <v>51</v>
      </c>
      <c r="I9" s="7" t="s">
        <v>51</v>
      </c>
      <c r="J9" s="7" t="s">
        <v>5</v>
      </c>
      <c r="K9" s="7" t="n">
        <v>8</v>
      </c>
      <c r="L9" s="7" t="str">
        <f aca="false">J9&amp;"|"&amp;K9</f>
        <v>Trellis Forearm System|8</v>
      </c>
    </row>
    <row r="10" customFormat="false" ht="15" hidden="false" customHeight="false" outlineLevel="0" collapsed="false">
      <c r="A10" s="7" t="s">
        <v>52</v>
      </c>
      <c r="B10" s="7" t="s">
        <v>93</v>
      </c>
      <c r="C10" s="7" t="s">
        <v>94</v>
      </c>
      <c r="D10" s="7" t="s">
        <v>95</v>
      </c>
      <c r="E10" s="7" t="s">
        <v>96</v>
      </c>
      <c r="F10" s="7" t="s">
        <v>97</v>
      </c>
      <c r="G10" s="7" t="s">
        <v>98</v>
      </c>
      <c r="H10" s="7" t="s">
        <v>51</v>
      </c>
      <c r="I10" s="7" t="s">
        <v>51</v>
      </c>
      <c r="J10" s="7" t="s">
        <v>99</v>
      </c>
      <c r="K10" s="7" t="n">
        <v>1</v>
      </c>
      <c r="L10" s="7" t="str">
        <f aca="false">J10&amp;"|"&amp;K10</f>
        <v>Voltix Plating System|1</v>
      </c>
    </row>
    <row r="11" customFormat="false" ht="15" hidden="false" customHeight="false" outlineLevel="0" collapsed="false">
      <c r="A11" s="7" t="s">
        <v>44</v>
      </c>
      <c r="B11" s="7" t="s">
        <v>100</v>
      </c>
      <c r="C11" s="7" t="s">
        <v>101</v>
      </c>
      <c r="D11" s="7" t="s">
        <v>102</v>
      </c>
      <c r="E11" s="7" t="s">
        <v>103</v>
      </c>
      <c r="F11" s="7" t="s">
        <v>104</v>
      </c>
      <c r="G11" s="7" t="s">
        <v>98</v>
      </c>
      <c r="H11" s="7" t="s">
        <v>51</v>
      </c>
      <c r="I11" s="7" t="s">
        <v>59</v>
      </c>
      <c r="J11" s="7" t="s">
        <v>99</v>
      </c>
      <c r="K11" s="7" t="n">
        <v>2</v>
      </c>
      <c r="L11" s="7" t="str">
        <f aca="false">J11&amp;"|"&amp;K11</f>
        <v>Voltix Plating System|2</v>
      </c>
    </row>
    <row r="12" customFormat="false" ht="15" hidden="false" customHeight="false" outlineLevel="0" collapsed="false">
      <c r="A12" s="7" t="s">
        <v>52</v>
      </c>
      <c r="B12" s="7" t="s">
        <v>105</v>
      </c>
      <c r="C12" s="7" t="s">
        <v>106</v>
      </c>
      <c r="D12" s="7" t="s">
        <v>107</v>
      </c>
      <c r="E12" s="7" t="s">
        <v>108</v>
      </c>
      <c r="F12" s="7" t="s">
        <v>109</v>
      </c>
      <c r="G12" s="7" t="s">
        <v>98</v>
      </c>
      <c r="H12" s="7" t="s">
        <v>59</v>
      </c>
      <c r="I12" s="7" t="s">
        <v>59</v>
      </c>
      <c r="J12" s="7" t="s">
        <v>99</v>
      </c>
      <c r="K12" s="7" t="n">
        <v>3</v>
      </c>
      <c r="L12" s="7" t="str">
        <f aca="false">J12&amp;"|"&amp;K12</f>
        <v>Voltix Plating System|3</v>
      </c>
    </row>
    <row r="13" customFormat="false" ht="15" hidden="false" customHeight="false" outlineLevel="0" collapsed="false">
      <c r="A13" s="7" t="s">
        <v>72</v>
      </c>
      <c r="B13" s="7" t="s">
        <v>110</v>
      </c>
      <c r="C13" s="7" t="s">
        <v>111</v>
      </c>
      <c r="D13" s="7" t="s">
        <v>112</v>
      </c>
      <c r="E13" s="7" t="s">
        <v>113</v>
      </c>
      <c r="F13" s="7" t="s">
        <v>114</v>
      </c>
      <c r="G13" s="7" t="s">
        <v>58</v>
      </c>
      <c r="H13" s="7" t="s">
        <v>51</v>
      </c>
      <c r="I13" s="7" t="s">
        <v>51</v>
      </c>
      <c r="J13" s="7" t="s">
        <v>99</v>
      </c>
      <c r="K13" s="7" t="n">
        <v>4</v>
      </c>
      <c r="L13" s="7" t="str">
        <f aca="false">J13&amp;"|"&amp;K13</f>
        <v>Voltix Plating System|4</v>
      </c>
    </row>
    <row r="14" customFormat="false" ht="15" hidden="false" customHeight="false" outlineLevel="0" collapsed="false">
      <c r="A14" s="7" t="s">
        <v>60</v>
      </c>
      <c r="B14" s="7" t="s">
        <v>115</v>
      </c>
      <c r="C14" s="7" t="s">
        <v>116</v>
      </c>
      <c r="D14" s="7" t="s">
        <v>117</v>
      </c>
      <c r="E14" s="7" t="s">
        <v>118</v>
      </c>
      <c r="F14" s="7" t="s">
        <v>119</v>
      </c>
      <c r="G14" s="7" t="s">
        <v>66</v>
      </c>
      <c r="H14" s="7" t="s">
        <v>59</v>
      </c>
      <c r="I14" s="7" t="s">
        <v>51</v>
      </c>
      <c r="J14" s="7" t="s">
        <v>99</v>
      </c>
      <c r="K14" s="7" t="n">
        <v>5</v>
      </c>
      <c r="L14" s="7" t="str">
        <f aca="false">J14&amp;"|"&amp;K14</f>
        <v>Voltix Plating System|5</v>
      </c>
    </row>
    <row r="15" customFormat="false" ht="15" hidden="false" customHeight="false" outlineLevel="0" collapsed="false">
      <c r="A15" s="7" t="s">
        <v>44</v>
      </c>
      <c r="B15" s="7" t="s">
        <v>120</v>
      </c>
      <c r="C15" s="7" t="s">
        <v>121</v>
      </c>
      <c r="D15" s="7" t="s">
        <v>122</v>
      </c>
      <c r="E15" s="7" t="s">
        <v>123</v>
      </c>
      <c r="F15" s="7" t="s">
        <v>124</v>
      </c>
      <c r="G15" s="7" t="s">
        <v>58</v>
      </c>
      <c r="H15" s="7" t="s">
        <v>59</v>
      </c>
      <c r="I15" s="7" t="s">
        <v>59</v>
      </c>
      <c r="J15" s="7" t="s">
        <v>99</v>
      </c>
      <c r="K15" s="7" t="n">
        <v>6</v>
      </c>
      <c r="L15" s="7" t="str">
        <f aca="false">J15&amp;"|"&amp;K15</f>
        <v>Voltix Plating System|6</v>
      </c>
    </row>
    <row r="16" customFormat="false" ht="15" hidden="false" customHeight="false" outlineLevel="0" collapsed="false">
      <c r="A16" s="7" t="s">
        <v>60</v>
      </c>
      <c r="B16" s="7" t="s">
        <v>125</v>
      </c>
      <c r="C16" s="7" t="s">
        <v>126</v>
      </c>
      <c r="D16" s="7" t="s">
        <v>127</v>
      </c>
      <c r="E16" s="7" t="s">
        <v>128</v>
      </c>
      <c r="F16" s="7" t="s">
        <v>129</v>
      </c>
      <c r="G16" s="7" t="s">
        <v>50</v>
      </c>
      <c r="H16" s="7" t="s">
        <v>51</v>
      </c>
      <c r="I16" s="7" t="s">
        <v>51</v>
      </c>
      <c r="J16" s="7" t="s">
        <v>99</v>
      </c>
      <c r="K16" s="7" t="n">
        <v>7</v>
      </c>
      <c r="L16" s="7" t="str">
        <f aca="false">J16&amp;"|"&amp;K16</f>
        <v>Voltix Plating System|7</v>
      </c>
    </row>
    <row r="17" customFormat="false" ht="15" hidden="false" customHeight="false" outlineLevel="0" collapsed="false">
      <c r="A17" s="7" t="s">
        <v>60</v>
      </c>
      <c r="B17" s="7" t="s">
        <v>130</v>
      </c>
      <c r="C17" s="7" t="s">
        <v>131</v>
      </c>
      <c r="D17" s="7" t="s">
        <v>132</v>
      </c>
      <c r="E17" s="7" t="s">
        <v>133</v>
      </c>
      <c r="F17" s="7" t="s">
        <v>134</v>
      </c>
      <c r="G17" s="7" t="s">
        <v>58</v>
      </c>
      <c r="H17" s="7" t="s">
        <v>59</v>
      </c>
      <c r="I17" s="7" t="s">
        <v>59</v>
      </c>
      <c r="J17" s="7" t="s">
        <v>99</v>
      </c>
      <c r="K17" s="7" t="n">
        <v>8</v>
      </c>
      <c r="L17" s="7" t="str">
        <f aca="false">J17&amp;"|"&amp;K17</f>
        <v>Voltix Plating System|8</v>
      </c>
    </row>
    <row r="18" customFormat="false" ht="15" hidden="false" customHeight="false" outlineLevel="0" collapsed="false">
      <c r="A18" s="7" t="s">
        <v>44</v>
      </c>
      <c r="B18" s="7" t="s">
        <v>135</v>
      </c>
      <c r="C18" s="7" t="s">
        <v>136</v>
      </c>
      <c r="D18" s="7" t="s">
        <v>137</v>
      </c>
      <c r="E18" s="7" t="s">
        <v>138</v>
      </c>
      <c r="F18" s="7" t="s">
        <v>139</v>
      </c>
      <c r="G18" s="7" t="s">
        <v>58</v>
      </c>
      <c r="H18" s="7" t="s">
        <v>51</v>
      </c>
      <c r="I18" s="7" t="s">
        <v>51</v>
      </c>
      <c r="J18" s="7" t="s">
        <v>140</v>
      </c>
      <c r="K18" s="7" t="n">
        <v>1</v>
      </c>
      <c r="L18" s="7" t="str">
        <f aca="false">J18&amp;"|"&amp;K18</f>
        <v>Anchorix Suture System|1</v>
      </c>
    </row>
    <row r="19" customFormat="false" ht="15" hidden="false" customHeight="false" outlineLevel="0" collapsed="false">
      <c r="A19" s="7" t="s">
        <v>44</v>
      </c>
      <c r="B19" s="7" t="s">
        <v>141</v>
      </c>
      <c r="C19" s="7" t="s">
        <v>142</v>
      </c>
      <c r="D19" s="7" t="s">
        <v>143</v>
      </c>
      <c r="E19" s="7" t="s">
        <v>144</v>
      </c>
      <c r="F19" s="7" t="s">
        <v>145</v>
      </c>
      <c r="G19" s="7" t="s">
        <v>50</v>
      </c>
      <c r="H19" s="7" t="s">
        <v>59</v>
      </c>
      <c r="I19" s="7" t="s">
        <v>51</v>
      </c>
      <c r="J19" s="7" t="s">
        <v>140</v>
      </c>
      <c r="K19" s="7" t="n">
        <v>2</v>
      </c>
      <c r="L19" s="7" t="str">
        <f aca="false">J19&amp;"|"&amp;K19</f>
        <v>Anchorix Suture System|2</v>
      </c>
    </row>
    <row r="20" customFormat="false" ht="15" hidden="false" customHeight="false" outlineLevel="0" collapsed="false">
      <c r="A20" s="7" t="s">
        <v>72</v>
      </c>
      <c r="B20" s="7" t="s">
        <v>146</v>
      </c>
      <c r="C20" s="7" t="s">
        <v>147</v>
      </c>
      <c r="D20" s="7" t="s">
        <v>148</v>
      </c>
      <c r="E20" s="7" t="s">
        <v>149</v>
      </c>
      <c r="F20" s="7" t="s">
        <v>150</v>
      </c>
      <c r="G20" s="7" t="s">
        <v>50</v>
      </c>
      <c r="H20" s="7" t="s">
        <v>59</v>
      </c>
      <c r="I20" s="7" t="s">
        <v>59</v>
      </c>
      <c r="J20" s="7" t="s">
        <v>140</v>
      </c>
      <c r="K20" s="7" t="n">
        <v>3</v>
      </c>
      <c r="L20" s="7" t="str">
        <f aca="false">J20&amp;"|"&amp;K20</f>
        <v>Anchorix Suture System|3</v>
      </c>
    </row>
    <row r="21" customFormat="false" ht="15" hidden="false" customHeight="false" outlineLevel="0" collapsed="false">
      <c r="A21" s="7" t="s">
        <v>72</v>
      </c>
      <c r="B21" s="7" t="s">
        <v>151</v>
      </c>
      <c r="C21" s="7" t="s">
        <v>152</v>
      </c>
      <c r="D21" s="7" t="s">
        <v>153</v>
      </c>
      <c r="E21" s="7" t="s">
        <v>154</v>
      </c>
      <c r="F21" s="7" t="s">
        <v>155</v>
      </c>
      <c r="G21" s="7" t="s">
        <v>50</v>
      </c>
      <c r="H21" s="7" t="s">
        <v>51</v>
      </c>
      <c r="I21" s="7" t="s">
        <v>51</v>
      </c>
      <c r="J21" s="7" t="s">
        <v>140</v>
      </c>
      <c r="K21" s="7" t="n">
        <v>4</v>
      </c>
      <c r="L21" s="7" t="str">
        <f aca="false">J21&amp;"|"&amp;K21</f>
        <v>Anchorix Suture System|4</v>
      </c>
    </row>
    <row r="22" customFormat="false" ht="15" hidden="false" customHeight="false" outlineLevel="0" collapsed="false">
      <c r="A22" s="7" t="s">
        <v>44</v>
      </c>
      <c r="B22" s="7" t="s">
        <v>156</v>
      </c>
      <c r="C22" s="7" t="s">
        <v>157</v>
      </c>
      <c r="D22" s="7" t="s">
        <v>158</v>
      </c>
      <c r="E22" s="7" t="s">
        <v>159</v>
      </c>
      <c r="F22" s="7" t="s">
        <v>160</v>
      </c>
      <c r="G22" s="7" t="s">
        <v>58</v>
      </c>
      <c r="H22" s="7" t="s">
        <v>51</v>
      </c>
      <c r="I22" s="7" t="s">
        <v>51</v>
      </c>
      <c r="J22" s="7" t="s">
        <v>140</v>
      </c>
      <c r="K22" s="7" t="n">
        <v>5</v>
      </c>
      <c r="L22" s="7" t="str">
        <f aca="false">J22&amp;"|"&amp;K22</f>
        <v>Anchorix Suture System|5</v>
      </c>
    </row>
    <row r="23" customFormat="false" ht="15" hidden="false" customHeight="false" outlineLevel="0" collapsed="false">
      <c r="A23" s="7" t="s">
        <v>60</v>
      </c>
      <c r="B23" s="7" t="s">
        <v>161</v>
      </c>
      <c r="C23" s="7" t="s">
        <v>162</v>
      </c>
      <c r="D23" s="7" t="s">
        <v>163</v>
      </c>
      <c r="E23" s="7" t="s">
        <v>164</v>
      </c>
      <c r="F23" s="7" t="s">
        <v>165</v>
      </c>
      <c r="G23" s="7" t="s">
        <v>50</v>
      </c>
      <c r="H23" s="7" t="s">
        <v>59</v>
      </c>
      <c r="I23" s="7" t="s">
        <v>59</v>
      </c>
      <c r="J23" s="7" t="s">
        <v>140</v>
      </c>
      <c r="K23" s="7" t="n">
        <v>6</v>
      </c>
      <c r="L23" s="7" t="str">
        <f aca="false">J23&amp;"|"&amp;K23</f>
        <v>Anchorix Suture System|6</v>
      </c>
    </row>
    <row r="24" customFormat="false" ht="15" hidden="false" customHeight="false" outlineLevel="0" collapsed="false">
      <c r="A24" s="7" t="s">
        <v>60</v>
      </c>
      <c r="B24" s="7" t="s">
        <v>166</v>
      </c>
      <c r="C24" s="7" t="s">
        <v>167</v>
      </c>
      <c r="D24" s="7" t="s">
        <v>168</v>
      </c>
      <c r="E24" s="7" t="s">
        <v>169</v>
      </c>
      <c r="F24" s="7" t="s">
        <v>170</v>
      </c>
      <c r="G24" s="7" t="s">
        <v>50</v>
      </c>
      <c r="H24" s="7" t="s">
        <v>59</v>
      </c>
      <c r="I24" s="7" t="s">
        <v>59</v>
      </c>
      <c r="J24" s="7" t="s">
        <v>140</v>
      </c>
      <c r="K24" s="7" t="n">
        <v>7</v>
      </c>
      <c r="L24" s="7" t="str">
        <f aca="false">J24&amp;"|"&amp;K24</f>
        <v>Anchorix Suture System|7</v>
      </c>
    </row>
    <row r="25" customFormat="false" ht="15" hidden="false" customHeight="false" outlineLevel="0" collapsed="false">
      <c r="A25" s="7" t="s">
        <v>60</v>
      </c>
      <c r="B25" s="7" t="s">
        <v>171</v>
      </c>
      <c r="C25" s="7" t="s">
        <v>162</v>
      </c>
      <c r="D25" s="7" t="s">
        <v>172</v>
      </c>
      <c r="E25" s="7" t="s">
        <v>173</v>
      </c>
      <c r="F25" s="7" t="s">
        <v>174</v>
      </c>
      <c r="G25" s="7" t="s">
        <v>66</v>
      </c>
      <c r="H25" s="7" t="s">
        <v>59</v>
      </c>
      <c r="I25" s="7" t="s">
        <v>59</v>
      </c>
      <c r="J25" s="7" t="s">
        <v>140</v>
      </c>
      <c r="K25" s="7" t="n">
        <v>8</v>
      </c>
      <c r="L25" s="7" t="str">
        <f aca="false">J25&amp;"|"&amp;K25</f>
        <v>Anchorix Suture System|8</v>
      </c>
    </row>
    <row r="26" customFormat="false" ht="15" hidden="false" customHeight="false" outlineLevel="0" collapsed="false">
      <c r="A26" s="7" t="s">
        <v>44</v>
      </c>
      <c r="B26" s="7" t="s">
        <v>175</v>
      </c>
      <c r="C26" s="7" t="s">
        <v>176</v>
      </c>
      <c r="D26" s="7" t="s">
        <v>177</v>
      </c>
      <c r="E26" s="7" t="s">
        <v>178</v>
      </c>
      <c r="F26" s="7" t="s">
        <v>179</v>
      </c>
      <c r="G26" s="7" t="s">
        <v>50</v>
      </c>
      <c r="H26" s="7" t="s">
        <v>51</v>
      </c>
      <c r="I26" s="7" t="s">
        <v>51</v>
      </c>
      <c r="J26" s="7" t="s">
        <v>180</v>
      </c>
      <c r="K26" s="7" t="n">
        <v>1</v>
      </c>
      <c r="L26" s="7" t="str">
        <f aca="false">J26&amp;"|"&amp;K26</f>
        <v>Radiant Nail System|1</v>
      </c>
    </row>
    <row r="27" customFormat="false" ht="15" hidden="false" customHeight="false" outlineLevel="0" collapsed="false">
      <c r="A27" s="7" t="s">
        <v>52</v>
      </c>
      <c r="B27" s="7" t="s">
        <v>181</v>
      </c>
      <c r="C27" s="7" t="s">
        <v>182</v>
      </c>
      <c r="D27" s="7" t="s">
        <v>183</v>
      </c>
      <c r="E27" s="7" t="s">
        <v>184</v>
      </c>
      <c r="F27" s="7" t="s">
        <v>185</v>
      </c>
      <c r="G27" s="7" t="s">
        <v>50</v>
      </c>
      <c r="H27" s="7" t="s">
        <v>51</v>
      </c>
      <c r="I27" s="7" t="s">
        <v>59</v>
      </c>
      <c r="J27" s="7" t="s">
        <v>180</v>
      </c>
      <c r="K27" s="7" t="n">
        <v>2</v>
      </c>
      <c r="L27" s="7" t="str">
        <f aca="false">J27&amp;"|"&amp;K27</f>
        <v>Radiant Nail System|2</v>
      </c>
    </row>
    <row r="28" customFormat="false" ht="15" hidden="false" customHeight="false" outlineLevel="0" collapsed="false">
      <c r="A28" s="7" t="s">
        <v>44</v>
      </c>
      <c r="B28" s="7" t="s">
        <v>186</v>
      </c>
      <c r="C28" s="7" t="s">
        <v>187</v>
      </c>
      <c r="D28" s="7" t="s">
        <v>188</v>
      </c>
      <c r="E28" s="7" t="s">
        <v>189</v>
      </c>
      <c r="F28" s="7" t="s">
        <v>190</v>
      </c>
      <c r="G28" s="7" t="s">
        <v>50</v>
      </c>
      <c r="H28" s="7" t="s">
        <v>51</v>
      </c>
      <c r="I28" s="7" t="s">
        <v>59</v>
      </c>
      <c r="J28" s="7" t="s">
        <v>180</v>
      </c>
      <c r="K28" s="7" t="n">
        <v>3</v>
      </c>
      <c r="L28" s="7" t="str">
        <f aca="false">J28&amp;"|"&amp;K28</f>
        <v>Radiant Nail System|3</v>
      </c>
    </row>
    <row r="29" customFormat="false" ht="15" hidden="false" customHeight="false" outlineLevel="0" collapsed="false">
      <c r="A29" s="7" t="s">
        <v>52</v>
      </c>
      <c r="B29" s="7" t="s">
        <v>191</v>
      </c>
      <c r="C29" s="7" t="s">
        <v>192</v>
      </c>
      <c r="D29" s="7" t="s">
        <v>193</v>
      </c>
      <c r="E29" s="7" t="s">
        <v>194</v>
      </c>
      <c r="F29" s="7" t="s">
        <v>195</v>
      </c>
      <c r="G29" s="7" t="s">
        <v>66</v>
      </c>
      <c r="H29" s="7" t="s">
        <v>51</v>
      </c>
      <c r="I29" s="7" t="s">
        <v>59</v>
      </c>
      <c r="J29" s="7" t="s">
        <v>180</v>
      </c>
      <c r="K29" s="7" t="n">
        <v>4</v>
      </c>
      <c r="L29" s="7" t="str">
        <f aca="false">J29&amp;"|"&amp;K29</f>
        <v>Radiant Nail System|4</v>
      </c>
    </row>
    <row r="30" customFormat="false" ht="15" hidden="false" customHeight="false" outlineLevel="0" collapsed="false">
      <c r="A30" s="7" t="s">
        <v>72</v>
      </c>
      <c r="B30" s="7" t="s">
        <v>196</v>
      </c>
      <c r="C30" s="7" t="s">
        <v>197</v>
      </c>
      <c r="D30" s="7" t="s">
        <v>198</v>
      </c>
      <c r="E30" s="7" t="s">
        <v>199</v>
      </c>
      <c r="F30" s="7" t="s">
        <v>200</v>
      </c>
      <c r="G30" s="7" t="s">
        <v>50</v>
      </c>
      <c r="H30" s="7" t="s">
        <v>51</v>
      </c>
      <c r="I30" s="7" t="s">
        <v>51</v>
      </c>
      <c r="J30" s="7" t="s">
        <v>180</v>
      </c>
      <c r="K30" s="7" t="n">
        <v>5</v>
      </c>
      <c r="L30" s="7" t="str">
        <f aca="false">J30&amp;"|"&amp;K30</f>
        <v>Radiant Nail System|5</v>
      </c>
    </row>
    <row r="31" customFormat="false" ht="15" hidden="false" customHeight="false" outlineLevel="0" collapsed="false">
      <c r="A31" s="7" t="s">
        <v>60</v>
      </c>
      <c r="B31" s="7" t="s">
        <v>201</v>
      </c>
      <c r="C31" s="7" t="s">
        <v>202</v>
      </c>
      <c r="D31" s="7" t="s">
        <v>203</v>
      </c>
      <c r="E31" s="7" t="s">
        <v>204</v>
      </c>
      <c r="F31" s="7" t="s">
        <v>205</v>
      </c>
      <c r="G31" s="7" t="s">
        <v>98</v>
      </c>
      <c r="H31" s="7" t="s">
        <v>51</v>
      </c>
      <c r="I31" s="7" t="s">
        <v>51</v>
      </c>
      <c r="J31" s="7" t="s">
        <v>180</v>
      </c>
      <c r="K31" s="7" t="n">
        <v>6</v>
      </c>
      <c r="L31" s="7" t="str">
        <f aca="false">J31&amp;"|"&amp;K31</f>
        <v>Radiant Nail System|6</v>
      </c>
    </row>
    <row r="32" customFormat="false" ht="15" hidden="false" customHeight="false" outlineLevel="0" collapsed="false">
      <c r="A32" s="7" t="s">
        <v>52</v>
      </c>
      <c r="B32" s="7" t="s">
        <v>206</v>
      </c>
      <c r="C32" s="7" t="s">
        <v>207</v>
      </c>
      <c r="D32" s="7" t="s">
        <v>208</v>
      </c>
      <c r="E32" s="7" t="s">
        <v>209</v>
      </c>
      <c r="F32" s="7" t="s">
        <v>210</v>
      </c>
      <c r="G32" s="7" t="s">
        <v>58</v>
      </c>
      <c r="H32" s="7" t="s">
        <v>51</v>
      </c>
      <c r="I32" s="7" t="s">
        <v>51</v>
      </c>
      <c r="J32" s="7" t="s">
        <v>180</v>
      </c>
      <c r="K32" s="7" t="n">
        <v>7</v>
      </c>
      <c r="L32" s="7" t="str">
        <f aca="false">J32&amp;"|"&amp;K32</f>
        <v>Radiant Nail System|7</v>
      </c>
    </row>
    <row r="33" customFormat="false" ht="15" hidden="false" customHeight="false" outlineLevel="0" collapsed="false">
      <c r="A33" s="7" t="s">
        <v>44</v>
      </c>
      <c r="B33" s="7" t="s">
        <v>211</v>
      </c>
      <c r="C33" s="7" t="s">
        <v>212</v>
      </c>
      <c r="D33" s="7" t="s">
        <v>213</v>
      </c>
      <c r="E33" s="7" t="s">
        <v>214</v>
      </c>
      <c r="F33" s="7" t="s">
        <v>215</v>
      </c>
      <c r="G33" s="7" t="s">
        <v>58</v>
      </c>
      <c r="H33" s="7" t="s">
        <v>51</v>
      </c>
      <c r="I33" s="7" t="s">
        <v>59</v>
      </c>
      <c r="J33" s="7" t="s">
        <v>180</v>
      </c>
      <c r="K33" s="7" t="n">
        <v>8</v>
      </c>
      <c r="L33" s="7" t="str">
        <f aca="false">J33&amp;"|"&amp;K33</f>
        <v>Radiant Nail System|8</v>
      </c>
    </row>
    <row r="34" customFormat="false" ht="15" hidden="false" customHeight="false" outlineLevel="0" collapsed="false">
      <c r="A34" s="7" t="s">
        <v>72</v>
      </c>
      <c r="B34" s="7" t="s">
        <v>216</v>
      </c>
      <c r="C34" s="7" t="s">
        <v>217</v>
      </c>
      <c r="D34" s="7" t="s">
        <v>218</v>
      </c>
      <c r="E34" s="7" t="s">
        <v>219</v>
      </c>
      <c r="F34" s="7" t="s">
        <v>220</v>
      </c>
      <c r="G34" s="7" t="s">
        <v>98</v>
      </c>
      <c r="H34" s="7" t="s">
        <v>59</v>
      </c>
      <c r="I34" s="7" t="s">
        <v>51</v>
      </c>
      <c r="J34" s="7" t="s">
        <v>221</v>
      </c>
      <c r="K34" s="7" t="n">
        <v>1</v>
      </c>
      <c r="L34" s="7" t="str">
        <f aca="false">J34&amp;"|"&amp;K34</f>
        <v>Corvid Fragment System|1</v>
      </c>
    </row>
    <row r="35" customFormat="false" ht="15" hidden="false" customHeight="false" outlineLevel="0" collapsed="false">
      <c r="A35" s="7" t="s">
        <v>72</v>
      </c>
      <c r="B35" s="7" t="s">
        <v>222</v>
      </c>
      <c r="C35" s="7" t="s">
        <v>223</v>
      </c>
      <c r="D35" s="7" t="s">
        <v>224</v>
      </c>
      <c r="E35" s="7" t="s">
        <v>225</v>
      </c>
      <c r="F35" s="7" t="s">
        <v>226</v>
      </c>
      <c r="G35" s="7" t="s">
        <v>66</v>
      </c>
      <c r="H35" s="7" t="s">
        <v>51</v>
      </c>
      <c r="I35" s="7" t="s">
        <v>51</v>
      </c>
      <c r="J35" s="7" t="s">
        <v>221</v>
      </c>
      <c r="K35" s="7" t="n">
        <v>2</v>
      </c>
      <c r="L35" s="7" t="str">
        <f aca="false">J35&amp;"|"&amp;K35</f>
        <v>Corvid Fragment System|2</v>
      </c>
    </row>
    <row r="36" customFormat="false" ht="15" hidden="false" customHeight="false" outlineLevel="0" collapsed="false">
      <c r="A36" s="7" t="s">
        <v>60</v>
      </c>
      <c r="B36" s="7" t="s">
        <v>227</v>
      </c>
      <c r="C36" s="7" t="s">
        <v>228</v>
      </c>
      <c r="D36" s="7" t="s">
        <v>229</v>
      </c>
      <c r="E36" s="7" t="s">
        <v>230</v>
      </c>
      <c r="F36" s="7" t="s">
        <v>231</v>
      </c>
      <c r="G36" s="7" t="s">
        <v>50</v>
      </c>
      <c r="H36" s="7" t="s">
        <v>59</v>
      </c>
      <c r="I36" s="7" t="s">
        <v>51</v>
      </c>
      <c r="J36" s="7" t="s">
        <v>221</v>
      </c>
      <c r="K36" s="7" t="n">
        <v>3</v>
      </c>
      <c r="L36" s="7" t="str">
        <f aca="false">J36&amp;"|"&amp;K36</f>
        <v>Corvid Fragment System|3</v>
      </c>
    </row>
    <row r="37" customFormat="false" ht="15" hidden="false" customHeight="false" outlineLevel="0" collapsed="false">
      <c r="A37" s="7" t="s">
        <v>60</v>
      </c>
      <c r="B37" s="7" t="s">
        <v>232</v>
      </c>
      <c r="C37" s="7" t="s">
        <v>233</v>
      </c>
      <c r="D37" s="7" t="s">
        <v>234</v>
      </c>
      <c r="E37" s="7" t="s">
        <v>235</v>
      </c>
      <c r="F37" s="7" t="s">
        <v>236</v>
      </c>
      <c r="G37" s="7" t="s">
        <v>58</v>
      </c>
      <c r="H37" s="7" t="s">
        <v>59</v>
      </c>
      <c r="I37" s="7" t="s">
        <v>51</v>
      </c>
      <c r="J37" s="7" t="s">
        <v>221</v>
      </c>
      <c r="K37" s="7" t="n">
        <v>4</v>
      </c>
      <c r="L37" s="7" t="str">
        <f aca="false">J37&amp;"|"&amp;K37</f>
        <v>Corvid Fragment System|4</v>
      </c>
    </row>
    <row r="38" customFormat="false" ht="15" hidden="false" customHeight="false" outlineLevel="0" collapsed="false">
      <c r="A38" s="7" t="s">
        <v>60</v>
      </c>
      <c r="B38" s="7" t="s">
        <v>237</v>
      </c>
      <c r="C38" s="7" t="s">
        <v>238</v>
      </c>
      <c r="D38" s="7" t="s">
        <v>239</v>
      </c>
      <c r="E38" s="7" t="s">
        <v>240</v>
      </c>
      <c r="F38" s="7" t="s">
        <v>241</v>
      </c>
      <c r="G38" s="7" t="s">
        <v>98</v>
      </c>
      <c r="H38" s="7" t="s">
        <v>59</v>
      </c>
      <c r="I38" s="7" t="s">
        <v>51</v>
      </c>
      <c r="J38" s="7" t="s">
        <v>221</v>
      </c>
      <c r="K38" s="7" t="n">
        <v>5</v>
      </c>
      <c r="L38" s="7" t="str">
        <f aca="false">J38&amp;"|"&amp;K38</f>
        <v>Corvid Fragment System|5</v>
      </c>
    </row>
    <row r="39" customFormat="false" ht="15" hidden="false" customHeight="false" outlineLevel="0" collapsed="false">
      <c r="A39" s="7" t="s">
        <v>72</v>
      </c>
      <c r="B39" s="7" t="s">
        <v>242</v>
      </c>
      <c r="C39" s="7" t="s">
        <v>243</v>
      </c>
      <c r="D39" s="7" t="s">
        <v>244</v>
      </c>
      <c r="E39" s="7" t="s">
        <v>245</v>
      </c>
      <c r="F39" s="7" t="s">
        <v>246</v>
      </c>
      <c r="G39" s="7" t="s">
        <v>66</v>
      </c>
      <c r="H39" s="7" t="s">
        <v>59</v>
      </c>
      <c r="I39" s="7" t="s">
        <v>51</v>
      </c>
      <c r="J39" s="7" t="s">
        <v>221</v>
      </c>
      <c r="K39" s="7" t="n">
        <v>6</v>
      </c>
      <c r="L39" s="7" t="str">
        <f aca="false">J39&amp;"|"&amp;K39</f>
        <v>Corvid Fragment System|6</v>
      </c>
    </row>
    <row r="40" customFormat="false" ht="15" hidden="false" customHeight="false" outlineLevel="0" collapsed="false">
      <c r="A40" s="7" t="s">
        <v>44</v>
      </c>
      <c r="B40" s="7" t="s">
        <v>247</v>
      </c>
      <c r="C40" s="7" t="s">
        <v>248</v>
      </c>
      <c r="D40" s="7" t="s">
        <v>249</v>
      </c>
      <c r="E40" s="7" t="s">
        <v>250</v>
      </c>
      <c r="F40" s="7" t="s">
        <v>251</v>
      </c>
      <c r="G40" s="7" t="s">
        <v>50</v>
      </c>
      <c r="H40" s="7" t="s">
        <v>59</v>
      </c>
      <c r="I40" s="7" t="s">
        <v>51</v>
      </c>
      <c r="J40" s="7" t="s">
        <v>221</v>
      </c>
      <c r="K40" s="7" t="n">
        <v>7</v>
      </c>
      <c r="L40" s="7" t="str">
        <f aca="false">J40&amp;"|"&amp;K40</f>
        <v>Corvid Fragment System|7</v>
      </c>
    </row>
    <row r="41" customFormat="false" ht="15" hidden="false" customHeight="false" outlineLevel="0" collapsed="false">
      <c r="A41" s="7" t="s">
        <v>52</v>
      </c>
      <c r="B41" s="7" t="s">
        <v>252</v>
      </c>
      <c r="C41" s="7" t="s">
        <v>253</v>
      </c>
      <c r="D41" s="7" t="s">
        <v>254</v>
      </c>
      <c r="E41" s="7" t="s">
        <v>255</v>
      </c>
      <c r="F41" s="7" t="s">
        <v>256</v>
      </c>
      <c r="G41" s="7" t="s">
        <v>58</v>
      </c>
      <c r="H41" s="7" t="s">
        <v>51</v>
      </c>
      <c r="I41" s="7" t="s">
        <v>51</v>
      </c>
      <c r="J41" s="7" t="s">
        <v>221</v>
      </c>
      <c r="K41" s="7" t="n">
        <v>8</v>
      </c>
      <c r="L41" s="7" t="str">
        <f aca="false">J41&amp;"|"&amp;K41</f>
        <v>Corvid Fragment System|8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20"/>
  </cols>
  <sheetData>
    <row r="1" customFormat="false" ht="23.85" hidden="false" customHeight="false" outlineLevel="0" collapsed="false">
      <c r="A1" s="6" t="s">
        <v>7</v>
      </c>
      <c r="B1" s="6" t="s">
        <v>5</v>
      </c>
      <c r="C1" s="6" t="s">
        <v>99</v>
      </c>
      <c r="D1" s="6" t="s">
        <v>140</v>
      </c>
      <c r="E1" s="6" t="s">
        <v>180</v>
      </c>
      <c r="F1" s="6" t="s">
        <v>221</v>
      </c>
    </row>
    <row r="2" customFormat="false" ht="15" hidden="false" customHeight="false" outlineLevel="0" collapsed="false">
      <c r="A2" s="7" t="s">
        <v>45</v>
      </c>
      <c r="B2" s="10" t="s">
        <v>257</v>
      </c>
      <c r="C2" s="10"/>
      <c r="D2" s="10"/>
      <c r="E2" s="10"/>
      <c r="F2" s="10"/>
    </row>
    <row r="3" customFormat="false" ht="15" hidden="false" customHeight="false" outlineLevel="0" collapsed="false">
      <c r="A3" s="7" t="s">
        <v>53</v>
      </c>
      <c r="B3" s="10" t="s">
        <v>257</v>
      </c>
      <c r="C3" s="10"/>
      <c r="D3" s="10"/>
      <c r="E3" s="10"/>
      <c r="F3" s="10"/>
    </row>
    <row r="4" customFormat="false" ht="15" hidden="false" customHeight="false" outlineLevel="0" collapsed="false">
      <c r="A4" s="7" t="s">
        <v>61</v>
      </c>
      <c r="B4" s="10" t="s">
        <v>257</v>
      </c>
      <c r="C4" s="10"/>
      <c r="D4" s="10"/>
      <c r="E4" s="10"/>
      <c r="F4" s="10"/>
    </row>
    <row r="5" customFormat="false" ht="15" hidden="false" customHeight="false" outlineLevel="0" collapsed="false">
      <c r="A5" s="7" t="s">
        <v>67</v>
      </c>
      <c r="B5" s="10" t="s">
        <v>257</v>
      </c>
      <c r="C5" s="10"/>
      <c r="D5" s="10"/>
      <c r="E5" s="10"/>
      <c r="F5" s="10"/>
    </row>
    <row r="6" customFormat="false" ht="15" hidden="false" customHeight="false" outlineLevel="0" collapsed="false">
      <c r="A6" s="7" t="s">
        <v>73</v>
      </c>
      <c r="B6" s="10" t="s">
        <v>257</v>
      </c>
      <c r="C6" s="10"/>
      <c r="D6" s="10"/>
      <c r="E6" s="10"/>
      <c r="F6" s="10"/>
    </row>
    <row r="7" customFormat="false" ht="15" hidden="false" customHeight="false" outlineLevel="0" collapsed="false">
      <c r="A7" s="7" t="s">
        <v>78</v>
      </c>
      <c r="B7" s="10" t="s">
        <v>257</v>
      </c>
      <c r="C7" s="10"/>
      <c r="D7" s="10"/>
      <c r="E7" s="10"/>
      <c r="F7" s="10"/>
    </row>
    <row r="8" customFormat="false" ht="15" hidden="false" customHeight="false" outlineLevel="0" collapsed="false">
      <c r="A8" s="7" t="s">
        <v>83</v>
      </c>
      <c r="B8" s="10" t="s">
        <v>257</v>
      </c>
      <c r="C8" s="10"/>
      <c r="D8" s="10"/>
      <c r="E8" s="10"/>
      <c r="F8" s="10"/>
    </row>
    <row r="9" customFormat="false" ht="15" hidden="false" customHeight="false" outlineLevel="0" collapsed="false">
      <c r="A9" s="7" t="s">
        <v>88</v>
      </c>
      <c r="B9" s="10" t="s">
        <v>257</v>
      </c>
      <c r="C9" s="10"/>
      <c r="D9" s="10"/>
      <c r="E9" s="10"/>
      <c r="F9" s="10"/>
    </row>
    <row r="10" customFormat="false" ht="15" hidden="false" customHeight="false" outlineLevel="0" collapsed="false">
      <c r="A10" s="7" t="s">
        <v>93</v>
      </c>
      <c r="B10" s="10"/>
      <c r="C10" s="10" t="s">
        <v>257</v>
      </c>
      <c r="D10" s="10"/>
      <c r="E10" s="10"/>
      <c r="F10" s="10"/>
    </row>
    <row r="11" customFormat="false" ht="15" hidden="false" customHeight="false" outlineLevel="0" collapsed="false">
      <c r="A11" s="7" t="s">
        <v>100</v>
      </c>
      <c r="B11" s="10"/>
      <c r="C11" s="10" t="s">
        <v>257</v>
      </c>
      <c r="D11" s="10"/>
      <c r="E11" s="10"/>
      <c r="F11" s="10"/>
    </row>
    <row r="12" customFormat="false" ht="15" hidden="false" customHeight="false" outlineLevel="0" collapsed="false">
      <c r="A12" s="7" t="s">
        <v>105</v>
      </c>
      <c r="B12" s="10"/>
      <c r="C12" s="10" t="s">
        <v>257</v>
      </c>
      <c r="D12" s="10"/>
      <c r="E12" s="10"/>
      <c r="F12" s="10"/>
    </row>
    <row r="13" customFormat="false" ht="15" hidden="false" customHeight="false" outlineLevel="0" collapsed="false">
      <c r="A13" s="7" t="s">
        <v>110</v>
      </c>
      <c r="B13" s="10"/>
      <c r="C13" s="10" t="s">
        <v>257</v>
      </c>
      <c r="D13" s="10"/>
      <c r="E13" s="10"/>
      <c r="F13" s="10"/>
    </row>
    <row r="14" customFormat="false" ht="15" hidden="false" customHeight="false" outlineLevel="0" collapsed="false">
      <c r="A14" s="7" t="s">
        <v>115</v>
      </c>
      <c r="B14" s="10"/>
      <c r="C14" s="10" t="s">
        <v>257</v>
      </c>
      <c r="D14" s="10"/>
      <c r="E14" s="10"/>
      <c r="F14" s="10"/>
    </row>
    <row r="15" customFormat="false" ht="15" hidden="false" customHeight="false" outlineLevel="0" collapsed="false">
      <c r="A15" s="7" t="s">
        <v>120</v>
      </c>
      <c r="B15" s="10"/>
      <c r="C15" s="10" t="s">
        <v>257</v>
      </c>
      <c r="D15" s="10"/>
      <c r="E15" s="10"/>
      <c r="F15" s="10"/>
    </row>
    <row r="16" customFormat="false" ht="15" hidden="false" customHeight="false" outlineLevel="0" collapsed="false">
      <c r="A16" s="7" t="s">
        <v>125</v>
      </c>
      <c r="B16" s="10"/>
      <c r="C16" s="10" t="s">
        <v>257</v>
      </c>
      <c r="D16" s="10"/>
      <c r="E16" s="10"/>
      <c r="F16" s="10"/>
    </row>
    <row r="17" customFormat="false" ht="15" hidden="false" customHeight="false" outlineLevel="0" collapsed="false">
      <c r="A17" s="7" t="s">
        <v>130</v>
      </c>
      <c r="B17" s="10"/>
      <c r="C17" s="10" t="s">
        <v>257</v>
      </c>
      <c r="D17" s="10"/>
      <c r="E17" s="10"/>
      <c r="F17" s="10"/>
    </row>
    <row r="18" customFormat="false" ht="15" hidden="false" customHeight="false" outlineLevel="0" collapsed="false">
      <c r="A18" s="7" t="s">
        <v>135</v>
      </c>
      <c r="B18" s="10"/>
      <c r="C18" s="10"/>
      <c r="D18" s="10" t="s">
        <v>257</v>
      </c>
      <c r="E18" s="10"/>
      <c r="F18" s="10"/>
    </row>
    <row r="19" customFormat="false" ht="15" hidden="false" customHeight="false" outlineLevel="0" collapsed="false">
      <c r="A19" s="7" t="s">
        <v>141</v>
      </c>
      <c r="B19" s="10"/>
      <c r="C19" s="10"/>
      <c r="D19" s="10" t="s">
        <v>257</v>
      </c>
      <c r="E19" s="10"/>
      <c r="F19" s="10"/>
    </row>
    <row r="20" customFormat="false" ht="15" hidden="false" customHeight="false" outlineLevel="0" collapsed="false">
      <c r="A20" s="7" t="s">
        <v>146</v>
      </c>
      <c r="B20" s="10"/>
      <c r="C20" s="10"/>
      <c r="D20" s="10" t="s">
        <v>257</v>
      </c>
      <c r="E20" s="10"/>
      <c r="F20" s="10"/>
    </row>
    <row r="21" customFormat="false" ht="15" hidden="false" customHeight="false" outlineLevel="0" collapsed="false">
      <c r="A21" s="7" t="s">
        <v>151</v>
      </c>
      <c r="B21" s="10"/>
      <c r="C21" s="10"/>
      <c r="D21" s="10" t="s">
        <v>257</v>
      </c>
      <c r="E21" s="10"/>
      <c r="F21" s="10"/>
    </row>
    <row r="22" customFormat="false" ht="15" hidden="false" customHeight="false" outlineLevel="0" collapsed="false">
      <c r="A22" s="7" t="s">
        <v>156</v>
      </c>
      <c r="B22" s="10"/>
      <c r="C22" s="10"/>
      <c r="D22" s="10" t="s">
        <v>257</v>
      </c>
      <c r="E22" s="10"/>
      <c r="F22" s="10"/>
    </row>
    <row r="23" customFormat="false" ht="15" hidden="false" customHeight="false" outlineLevel="0" collapsed="false">
      <c r="A23" s="7" t="s">
        <v>161</v>
      </c>
      <c r="B23" s="10"/>
      <c r="C23" s="10"/>
      <c r="D23" s="10" t="s">
        <v>257</v>
      </c>
      <c r="E23" s="10"/>
      <c r="F23" s="10"/>
    </row>
    <row r="24" customFormat="false" ht="15" hidden="false" customHeight="false" outlineLevel="0" collapsed="false">
      <c r="A24" s="7" t="s">
        <v>166</v>
      </c>
      <c r="B24" s="10"/>
      <c r="C24" s="10"/>
      <c r="D24" s="10" t="s">
        <v>257</v>
      </c>
      <c r="E24" s="10"/>
      <c r="F24" s="10"/>
    </row>
    <row r="25" customFormat="false" ht="15" hidden="false" customHeight="false" outlineLevel="0" collapsed="false">
      <c r="A25" s="7" t="s">
        <v>171</v>
      </c>
      <c r="B25" s="10"/>
      <c r="C25" s="10"/>
      <c r="D25" s="10" t="s">
        <v>257</v>
      </c>
      <c r="E25" s="10"/>
      <c r="F25" s="10"/>
    </row>
    <row r="26" customFormat="false" ht="15" hidden="false" customHeight="false" outlineLevel="0" collapsed="false">
      <c r="A26" s="7" t="s">
        <v>175</v>
      </c>
      <c r="B26" s="10"/>
      <c r="C26" s="10"/>
      <c r="D26" s="10"/>
      <c r="E26" s="10" t="s">
        <v>257</v>
      </c>
      <c r="F26" s="10"/>
    </row>
    <row r="27" customFormat="false" ht="15" hidden="false" customHeight="false" outlineLevel="0" collapsed="false">
      <c r="A27" s="7" t="s">
        <v>181</v>
      </c>
      <c r="B27" s="10"/>
      <c r="C27" s="10"/>
      <c r="D27" s="10"/>
      <c r="E27" s="10" t="s">
        <v>257</v>
      </c>
      <c r="F27" s="10"/>
    </row>
    <row r="28" customFormat="false" ht="15" hidden="false" customHeight="false" outlineLevel="0" collapsed="false">
      <c r="A28" s="7" t="s">
        <v>186</v>
      </c>
      <c r="B28" s="10"/>
      <c r="C28" s="10"/>
      <c r="D28" s="10"/>
      <c r="E28" s="10" t="s">
        <v>257</v>
      </c>
      <c r="F28" s="10"/>
    </row>
    <row r="29" customFormat="false" ht="15" hidden="false" customHeight="false" outlineLevel="0" collapsed="false">
      <c r="A29" s="7" t="s">
        <v>191</v>
      </c>
      <c r="B29" s="10"/>
      <c r="C29" s="10"/>
      <c r="D29" s="10"/>
      <c r="E29" s="10" t="s">
        <v>257</v>
      </c>
      <c r="F29" s="10"/>
    </row>
    <row r="30" customFormat="false" ht="15" hidden="false" customHeight="false" outlineLevel="0" collapsed="false">
      <c r="A30" s="7" t="s">
        <v>196</v>
      </c>
      <c r="B30" s="10"/>
      <c r="C30" s="10"/>
      <c r="D30" s="10"/>
      <c r="E30" s="10" t="s">
        <v>257</v>
      </c>
      <c r="F30" s="10"/>
    </row>
    <row r="31" customFormat="false" ht="15" hidden="false" customHeight="false" outlineLevel="0" collapsed="false">
      <c r="A31" s="7" t="s">
        <v>201</v>
      </c>
      <c r="B31" s="10"/>
      <c r="C31" s="10"/>
      <c r="D31" s="10"/>
      <c r="E31" s="10" t="s">
        <v>257</v>
      </c>
      <c r="F31" s="10"/>
    </row>
    <row r="32" customFormat="false" ht="15" hidden="false" customHeight="false" outlineLevel="0" collapsed="false">
      <c r="A32" s="7" t="s">
        <v>206</v>
      </c>
      <c r="B32" s="10"/>
      <c r="C32" s="10"/>
      <c r="D32" s="10"/>
      <c r="E32" s="10" t="s">
        <v>257</v>
      </c>
      <c r="F32" s="10"/>
    </row>
    <row r="33" customFormat="false" ht="15" hidden="false" customHeight="false" outlineLevel="0" collapsed="false">
      <c r="A33" s="7" t="s">
        <v>211</v>
      </c>
      <c r="B33" s="10"/>
      <c r="C33" s="10"/>
      <c r="D33" s="10"/>
      <c r="E33" s="10" t="s">
        <v>257</v>
      </c>
      <c r="F33" s="10"/>
    </row>
    <row r="34" customFormat="false" ht="15" hidden="false" customHeight="false" outlineLevel="0" collapsed="false">
      <c r="A34" s="7" t="s">
        <v>216</v>
      </c>
      <c r="B34" s="10"/>
      <c r="C34" s="10"/>
      <c r="D34" s="10"/>
      <c r="E34" s="10"/>
      <c r="F34" s="10" t="s">
        <v>257</v>
      </c>
    </row>
    <row r="35" customFormat="false" ht="15" hidden="false" customHeight="false" outlineLevel="0" collapsed="false">
      <c r="A35" s="7" t="s">
        <v>222</v>
      </c>
      <c r="B35" s="10"/>
      <c r="C35" s="10"/>
      <c r="D35" s="10"/>
      <c r="E35" s="10"/>
      <c r="F35" s="10" t="s">
        <v>257</v>
      </c>
    </row>
    <row r="36" customFormat="false" ht="15" hidden="false" customHeight="false" outlineLevel="0" collapsed="false">
      <c r="A36" s="7" t="s">
        <v>227</v>
      </c>
      <c r="B36" s="10"/>
      <c r="C36" s="10"/>
      <c r="D36" s="10"/>
      <c r="E36" s="10"/>
      <c r="F36" s="10" t="s">
        <v>257</v>
      </c>
    </row>
    <row r="37" customFormat="false" ht="15" hidden="false" customHeight="false" outlineLevel="0" collapsed="false">
      <c r="A37" s="7" t="s">
        <v>232</v>
      </c>
      <c r="B37" s="10"/>
      <c r="C37" s="10"/>
      <c r="D37" s="10"/>
      <c r="E37" s="10"/>
      <c r="F37" s="10" t="s">
        <v>257</v>
      </c>
    </row>
    <row r="38" customFormat="false" ht="15" hidden="false" customHeight="false" outlineLevel="0" collapsed="false">
      <c r="A38" s="7" t="s">
        <v>237</v>
      </c>
      <c r="B38" s="10"/>
      <c r="C38" s="10"/>
      <c r="D38" s="10"/>
      <c r="E38" s="10"/>
      <c r="F38" s="10" t="s">
        <v>257</v>
      </c>
    </row>
    <row r="39" customFormat="false" ht="15" hidden="false" customHeight="false" outlineLevel="0" collapsed="false">
      <c r="A39" s="7" t="s">
        <v>242</v>
      </c>
      <c r="B39" s="10"/>
      <c r="C39" s="10"/>
      <c r="D39" s="10"/>
      <c r="E39" s="10"/>
      <c r="F39" s="10" t="s">
        <v>257</v>
      </c>
    </row>
    <row r="40" customFormat="false" ht="15" hidden="false" customHeight="false" outlineLevel="0" collapsed="false">
      <c r="A40" s="7" t="s">
        <v>247</v>
      </c>
      <c r="B40" s="10"/>
      <c r="C40" s="10"/>
      <c r="D40" s="10"/>
      <c r="E40" s="10"/>
      <c r="F40" s="10" t="s">
        <v>257</v>
      </c>
    </row>
    <row r="41" customFormat="false" ht="15" hidden="false" customHeight="false" outlineLevel="0" collapsed="false">
      <c r="A41" s="7" t="s">
        <v>252</v>
      </c>
      <c r="B41" s="10"/>
      <c r="C41" s="10"/>
      <c r="D41" s="10"/>
      <c r="E41" s="10"/>
      <c r="F41" s="10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22"/>
  </cols>
  <sheetData>
    <row r="1" customFormat="false" ht="23.85" hidden="false" customHeight="false" outlineLevel="0" collapsed="false">
      <c r="A1" s="6" t="s">
        <v>7</v>
      </c>
      <c r="B1" s="6" t="s">
        <v>258</v>
      </c>
      <c r="C1" s="6" t="s">
        <v>259</v>
      </c>
      <c r="D1" s="6" t="s">
        <v>260</v>
      </c>
      <c r="E1" s="6" t="s">
        <v>9</v>
      </c>
      <c r="F1" s="6" t="s">
        <v>261</v>
      </c>
      <c r="G1" s="6" t="s">
        <v>11</v>
      </c>
      <c r="H1" s="6" t="s">
        <v>12</v>
      </c>
      <c r="I1" s="6" t="s">
        <v>262</v>
      </c>
    </row>
    <row r="2" customFormat="false" ht="15" hidden="false" customHeight="false" outlineLevel="0" collapsed="false">
      <c r="A2" s="7" t="s">
        <v>45</v>
      </c>
      <c r="B2" s="7" t="s">
        <v>3</v>
      </c>
      <c r="C2" s="7" t="s">
        <v>263</v>
      </c>
      <c r="D2" s="7" t="n">
        <v>7</v>
      </c>
      <c r="E2" s="7" t="s">
        <v>264</v>
      </c>
      <c r="F2" s="7" t="s">
        <v>265</v>
      </c>
      <c r="G2" s="7" t="s">
        <v>266</v>
      </c>
      <c r="H2" s="7" t="s">
        <v>267</v>
      </c>
      <c r="I2" s="7" t="str">
        <f aca="false">B2&amp;"|"&amp;A2</f>
        <v>USA|TRL-110-1</v>
      </c>
    </row>
    <row r="3" customFormat="false" ht="15" hidden="false" customHeight="false" outlineLevel="0" collapsed="false">
      <c r="A3" s="7" t="s">
        <v>45</v>
      </c>
      <c r="B3" s="7" t="s">
        <v>268</v>
      </c>
      <c r="C3" s="7" t="s">
        <v>269</v>
      </c>
      <c r="D3" s="7" t="n">
        <v>6</v>
      </c>
      <c r="E3" s="7" t="s">
        <v>270</v>
      </c>
      <c r="F3" s="7" t="s">
        <v>271</v>
      </c>
      <c r="G3" s="7" t="s">
        <v>272</v>
      </c>
      <c r="H3" s="7" t="s">
        <v>273</v>
      </c>
      <c r="I3" s="7" t="str">
        <f aca="false">B3&amp;"|"&amp;A3</f>
        <v>Germany|TRL-110-1</v>
      </c>
    </row>
    <row r="4" customFormat="false" ht="15" hidden="false" customHeight="false" outlineLevel="0" collapsed="false">
      <c r="A4" s="7" t="s">
        <v>45</v>
      </c>
      <c r="B4" s="7" t="s">
        <v>274</v>
      </c>
      <c r="C4" s="7" t="s">
        <v>275</v>
      </c>
      <c r="D4" s="7" t="n">
        <v>3</v>
      </c>
      <c r="E4" s="7" t="s">
        <v>276</v>
      </c>
      <c r="F4" s="7" t="s">
        <v>277</v>
      </c>
      <c r="G4" s="7" t="s">
        <v>278</v>
      </c>
      <c r="H4" s="7" t="s">
        <v>279</v>
      </c>
      <c r="I4" s="7" t="str">
        <f aca="false">B4&amp;"|"&amp;A4</f>
        <v>Brazil|TRL-110-1</v>
      </c>
    </row>
    <row r="5" customFormat="false" ht="15" hidden="false" customHeight="false" outlineLevel="0" collapsed="false">
      <c r="A5" s="7" t="s">
        <v>45</v>
      </c>
      <c r="B5" s="7" t="s">
        <v>280</v>
      </c>
      <c r="C5" s="7" t="s">
        <v>263</v>
      </c>
      <c r="D5" s="7" t="n">
        <v>6</v>
      </c>
      <c r="E5" s="7" t="s">
        <v>281</v>
      </c>
      <c r="F5" s="7" t="s">
        <v>282</v>
      </c>
      <c r="G5" s="7" t="s">
        <v>283</v>
      </c>
      <c r="H5" s="7" t="s">
        <v>284</v>
      </c>
      <c r="I5" s="7" t="str">
        <f aca="false">B5&amp;"|"&amp;A5</f>
        <v>Japan|TRL-110-1</v>
      </c>
    </row>
    <row r="6" customFormat="false" ht="15" hidden="false" customHeight="false" outlineLevel="0" collapsed="false">
      <c r="A6" s="7" t="s">
        <v>45</v>
      </c>
      <c r="B6" s="7" t="s">
        <v>285</v>
      </c>
      <c r="C6" s="7" t="s">
        <v>263</v>
      </c>
      <c r="D6" s="7" t="n">
        <v>2</v>
      </c>
      <c r="E6" s="7" t="s">
        <v>286</v>
      </c>
      <c r="F6" s="7" t="s">
        <v>287</v>
      </c>
      <c r="G6" s="7" t="s">
        <v>288</v>
      </c>
      <c r="H6" s="7" t="s">
        <v>289</v>
      </c>
      <c r="I6" s="7" t="str">
        <f aca="false">B6&amp;"|"&amp;A6</f>
        <v>Australia|TRL-110-1</v>
      </c>
    </row>
    <row r="7" customFormat="false" ht="15" hidden="false" customHeight="false" outlineLevel="0" collapsed="false">
      <c r="A7" s="7" t="s">
        <v>53</v>
      </c>
      <c r="B7" s="7" t="s">
        <v>3</v>
      </c>
      <c r="C7" s="7" t="s">
        <v>275</v>
      </c>
      <c r="D7" s="7" t="n">
        <v>6</v>
      </c>
      <c r="E7" s="7" t="s">
        <v>264</v>
      </c>
      <c r="F7" s="7" t="s">
        <v>290</v>
      </c>
      <c r="G7" s="7" t="s">
        <v>291</v>
      </c>
      <c r="H7" s="7" t="s">
        <v>267</v>
      </c>
      <c r="I7" s="7" t="str">
        <f aca="false">B7&amp;"|"&amp;A7</f>
        <v>USA|TRL-120-2</v>
      </c>
    </row>
    <row r="8" customFormat="false" ht="15" hidden="false" customHeight="false" outlineLevel="0" collapsed="false">
      <c r="A8" s="7" t="s">
        <v>53</v>
      </c>
      <c r="B8" s="7" t="s">
        <v>268</v>
      </c>
      <c r="C8" s="7" t="s">
        <v>263</v>
      </c>
      <c r="D8" s="7" t="n">
        <v>7</v>
      </c>
      <c r="E8" s="7" t="s">
        <v>270</v>
      </c>
      <c r="F8" s="7" t="s">
        <v>292</v>
      </c>
      <c r="G8" s="7" t="s">
        <v>293</v>
      </c>
      <c r="H8" s="7" t="s">
        <v>294</v>
      </c>
      <c r="I8" s="7" t="str">
        <f aca="false">B8&amp;"|"&amp;A8</f>
        <v>Germany|TRL-120-2</v>
      </c>
    </row>
    <row r="9" customFormat="false" ht="15" hidden="false" customHeight="false" outlineLevel="0" collapsed="false">
      <c r="A9" s="7" t="s">
        <v>53</v>
      </c>
      <c r="B9" s="7" t="s">
        <v>274</v>
      </c>
      <c r="C9" s="7" t="s">
        <v>275</v>
      </c>
      <c r="D9" s="7" t="n">
        <v>6</v>
      </c>
      <c r="E9" s="7" t="s">
        <v>276</v>
      </c>
      <c r="F9" s="7" t="s">
        <v>295</v>
      </c>
      <c r="G9" s="7" t="s">
        <v>296</v>
      </c>
      <c r="H9" s="7" t="s">
        <v>297</v>
      </c>
      <c r="I9" s="7" t="str">
        <f aca="false">B9&amp;"|"&amp;A9</f>
        <v>Brazil|TRL-120-2</v>
      </c>
    </row>
    <row r="10" customFormat="false" ht="15" hidden="false" customHeight="false" outlineLevel="0" collapsed="false">
      <c r="A10" s="7" t="s">
        <v>53</v>
      </c>
      <c r="B10" s="7" t="s">
        <v>280</v>
      </c>
      <c r="C10" s="7" t="s">
        <v>269</v>
      </c>
      <c r="D10" s="7" t="n">
        <v>2</v>
      </c>
      <c r="E10" s="7" t="s">
        <v>281</v>
      </c>
      <c r="F10" s="7" t="s">
        <v>298</v>
      </c>
      <c r="G10" s="7" t="s">
        <v>299</v>
      </c>
      <c r="H10" s="7" t="s">
        <v>300</v>
      </c>
      <c r="I10" s="7" t="str">
        <f aca="false">B10&amp;"|"&amp;A10</f>
        <v>Japan|TRL-120-2</v>
      </c>
    </row>
    <row r="11" customFormat="false" ht="15" hidden="false" customHeight="false" outlineLevel="0" collapsed="false">
      <c r="A11" s="7" t="s">
        <v>53</v>
      </c>
      <c r="B11" s="7" t="s">
        <v>285</v>
      </c>
      <c r="C11" s="7" t="s">
        <v>269</v>
      </c>
      <c r="D11" s="7" t="n">
        <v>7</v>
      </c>
      <c r="E11" s="7" t="s">
        <v>286</v>
      </c>
      <c r="F11" s="7" t="s">
        <v>301</v>
      </c>
      <c r="G11" s="7" t="s">
        <v>302</v>
      </c>
      <c r="H11" s="7" t="s">
        <v>303</v>
      </c>
      <c r="I11" s="7" t="str">
        <f aca="false">B11&amp;"|"&amp;A11</f>
        <v>Australia|TRL-120-2</v>
      </c>
    </row>
    <row r="12" customFormat="false" ht="15" hidden="false" customHeight="false" outlineLevel="0" collapsed="false">
      <c r="A12" s="7" t="s">
        <v>61</v>
      </c>
      <c r="B12" s="7" t="s">
        <v>3</v>
      </c>
      <c r="C12" s="7" t="s">
        <v>263</v>
      </c>
      <c r="D12" s="7" t="n">
        <v>6</v>
      </c>
      <c r="E12" s="7" t="s">
        <v>264</v>
      </c>
      <c r="F12" s="7" t="s">
        <v>304</v>
      </c>
      <c r="G12" s="7" t="s">
        <v>305</v>
      </c>
      <c r="H12" s="7" t="s">
        <v>267</v>
      </c>
      <c r="I12" s="7" t="str">
        <f aca="false">B12&amp;"|"&amp;A12</f>
        <v>USA|TRL-130-3</v>
      </c>
    </row>
    <row r="13" customFormat="false" ht="15" hidden="false" customHeight="false" outlineLevel="0" collapsed="false">
      <c r="A13" s="7" t="s">
        <v>61</v>
      </c>
      <c r="B13" s="7" t="s">
        <v>268</v>
      </c>
      <c r="C13" s="7" t="s">
        <v>306</v>
      </c>
      <c r="D13" s="7" t="n">
        <v>2</v>
      </c>
      <c r="E13" s="7" t="s">
        <v>270</v>
      </c>
      <c r="F13" s="7" t="s">
        <v>307</v>
      </c>
      <c r="G13" s="7" t="s">
        <v>308</v>
      </c>
      <c r="H13" s="7" t="s">
        <v>309</v>
      </c>
      <c r="I13" s="7" t="str">
        <f aca="false">B13&amp;"|"&amp;A13</f>
        <v>Germany|TRL-130-3</v>
      </c>
    </row>
    <row r="14" customFormat="false" ht="15" hidden="false" customHeight="false" outlineLevel="0" collapsed="false">
      <c r="A14" s="7" t="s">
        <v>61</v>
      </c>
      <c r="B14" s="7" t="s">
        <v>274</v>
      </c>
      <c r="C14" s="7" t="s">
        <v>306</v>
      </c>
      <c r="D14" s="7" t="n">
        <v>7</v>
      </c>
      <c r="E14" s="7" t="s">
        <v>276</v>
      </c>
      <c r="F14" s="7" t="s">
        <v>310</v>
      </c>
      <c r="G14" s="7" t="s">
        <v>311</v>
      </c>
      <c r="H14" s="7" t="s">
        <v>312</v>
      </c>
      <c r="I14" s="7" t="str">
        <f aca="false">B14&amp;"|"&amp;A14</f>
        <v>Brazil|TRL-130-3</v>
      </c>
    </row>
    <row r="15" customFormat="false" ht="15" hidden="false" customHeight="false" outlineLevel="0" collapsed="false">
      <c r="A15" s="7" t="s">
        <v>61</v>
      </c>
      <c r="B15" s="7" t="s">
        <v>280</v>
      </c>
      <c r="C15" s="7" t="s">
        <v>275</v>
      </c>
      <c r="D15" s="7" t="n">
        <v>3</v>
      </c>
      <c r="E15" s="7" t="s">
        <v>281</v>
      </c>
      <c r="F15" s="7" t="s">
        <v>313</v>
      </c>
      <c r="G15" s="7" t="s">
        <v>314</v>
      </c>
      <c r="H15" s="7" t="s">
        <v>315</v>
      </c>
      <c r="I15" s="7" t="str">
        <f aca="false">B15&amp;"|"&amp;A15</f>
        <v>Japan|TRL-130-3</v>
      </c>
    </row>
    <row r="16" customFormat="false" ht="15" hidden="false" customHeight="false" outlineLevel="0" collapsed="false">
      <c r="A16" s="7" t="s">
        <v>61</v>
      </c>
      <c r="B16" s="7" t="s">
        <v>285</v>
      </c>
      <c r="C16" s="7" t="s">
        <v>306</v>
      </c>
      <c r="D16" s="7" t="n">
        <v>5</v>
      </c>
      <c r="E16" s="7" t="s">
        <v>286</v>
      </c>
      <c r="F16" s="7" t="s">
        <v>316</v>
      </c>
      <c r="G16" s="7" t="s">
        <v>317</v>
      </c>
      <c r="H16" s="7" t="s">
        <v>318</v>
      </c>
      <c r="I16" s="7" t="str">
        <f aca="false">B16&amp;"|"&amp;A16</f>
        <v>Australia|TRL-130-3</v>
      </c>
    </row>
    <row r="17" customFormat="false" ht="15" hidden="false" customHeight="false" outlineLevel="0" collapsed="false">
      <c r="A17" s="7" t="s">
        <v>67</v>
      </c>
      <c r="B17" s="7" t="s">
        <v>3</v>
      </c>
      <c r="C17" s="7" t="s">
        <v>275</v>
      </c>
      <c r="D17" s="7" t="n">
        <v>8</v>
      </c>
      <c r="E17" s="7" t="s">
        <v>264</v>
      </c>
      <c r="F17" s="7" t="s">
        <v>319</v>
      </c>
      <c r="G17" s="7" t="s">
        <v>320</v>
      </c>
      <c r="H17" s="7" t="s">
        <v>267</v>
      </c>
      <c r="I17" s="7" t="str">
        <f aca="false">B17&amp;"|"&amp;A17</f>
        <v>USA|TRL-140-4</v>
      </c>
    </row>
    <row r="18" customFormat="false" ht="15" hidden="false" customHeight="false" outlineLevel="0" collapsed="false">
      <c r="A18" s="7" t="s">
        <v>67</v>
      </c>
      <c r="B18" s="7" t="s">
        <v>268</v>
      </c>
      <c r="C18" s="7" t="s">
        <v>263</v>
      </c>
      <c r="D18" s="7" t="n">
        <v>2</v>
      </c>
      <c r="E18" s="7" t="s">
        <v>270</v>
      </c>
      <c r="F18" s="7" t="s">
        <v>321</v>
      </c>
      <c r="G18" s="7" t="s">
        <v>322</v>
      </c>
      <c r="H18" s="7" t="s">
        <v>323</v>
      </c>
      <c r="I18" s="7" t="str">
        <f aca="false">B18&amp;"|"&amp;A18</f>
        <v>Germany|TRL-140-4</v>
      </c>
    </row>
    <row r="19" customFormat="false" ht="15" hidden="false" customHeight="false" outlineLevel="0" collapsed="false">
      <c r="A19" s="7" t="s">
        <v>67</v>
      </c>
      <c r="B19" s="7" t="s">
        <v>274</v>
      </c>
      <c r="C19" s="7" t="s">
        <v>269</v>
      </c>
      <c r="D19" s="7" t="n">
        <v>4</v>
      </c>
      <c r="E19" s="7" t="s">
        <v>276</v>
      </c>
      <c r="F19" s="7" t="s">
        <v>324</v>
      </c>
      <c r="G19" s="7" t="s">
        <v>325</v>
      </c>
      <c r="H19" s="7" t="s">
        <v>326</v>
      </c>
      <c r="I19" s="7" t="str">
        <f aca="false">B19&amp;"|"&amp;A19</f>
        <v>Brazil|TRL-140-4</v>
      </c>
    </row>
    <row r="20" customFormat="false" ht="15" hidden="false" customHeight="false" outlineLevel="0" collapsed="false">
      <c r="A20" s="7" t="s">
        <v>67</v>
      </c>
      <c r="B20" s="7" t="s">
        <v>280</v>
      </c>
      <c r="C20" s="7" t="s">
        <v>269</v>
      </c>
      <c r="D20" s="7" t="n">
        <v>4</v>
      </c>
      <c r="E20" s="7" t="s">
        <v>281</v>
      </c>
      <c r="F20" s="7" t="s">
        <v>327</v>
      </c>
      <c r="G20" s="7" t="s">
        <v>328</v>
      </c>
      <c r="H20" s="7" t="s">
        <v>294</v>
      </c>
      <c r="I20" s="7" t="str">
        <f aca="false">B20&amp;"|"&amp;A20</f>
        <v>Japan|TRL-140-4</v>
      </c>
    </row>
    <row r="21" customFormat="false" ht="15" hidden="false" customHeight="false" outlineLevel="0" collapsed="false">
      <c r="A21" s="7" t="s">
        <v>67</v>
      </c>
      <c r="B21" s="7" t="s">
        <v>285</v>
      </c>
      <c r="C21" s="7" t="s">
        <v>263</v>
      </c>
      <c r="D21" s="7" t="n">
        <v>7</v>
      </c>
      <c r="E21" s="7" t="s">
        <v>286</v>
      </c>
      <c r="F21" s="7" t="s">
        <v>329</v>
      </c>
      <c r="G21" s="7" t="s">
        <v>330</v>
      </c>
      <c r="H21" s="7" t="s">
        <v>331</v>
      </c>
      <c r="I21" s="7" t="str">
        <f aca="false">B21&amp;"|"&amp;A21</f>
        <v>Australia|TRL-140-4</v>
      </c>
    </row>
    <row r="22" customFormat="false" ht="15" hidden="false" customHeight="false" outlineLevel="0" collapsed="false">
      <c r="A22" s="7" t="s">
        <v>73</v>
      </c>
      <c r="B22" s="7" t="s">
        <v>3</v>
      </c>
      <c r="C22" s="7" t="s">
        <v>275</v>
      </c>
      <c r="D22" s="7" t="n">
        <v>4</v>
      </c>
      <c r="E22" s="7" t="s">
        <v>264</v>
      </c>
      <c r="F22" s="7" t="s">
        <v>332</v>
      </c>
      <c r="G22" s="7" t="s">
        <v>333</v>
      </c>
      <c r="H22" s="7" t="s">
        <v>267</v>
      </c>
      <c r="I22" s="7" t="str">
        <f aca="false">B22&amp;"|"&amp;A22</f>
        <v>USA|TRL-150-5</v>
      </c>
    </row>
    <row r="23" customFormat="false" ht="15" hidden="false" customHeight="false" outlineLevel="0" collapsed="false">
      <c r="A23" s="7" t="s">
        <v>73</v>
      </c>
      <c r="B23" s="7" t="s">
        <v>268</v>
      </c>
      <c r="C23" s="7" t="s">
        <v>269</v>
      </c>
      <c r="D23" s="7" t="n">
        <v>4</v>
      </c>
      <c r="E23" s="7" t="s">
        <v>270</v>
      </c>
      <c r="F23" s="7" t="s">
        <v>334</v>
      </c>
      <c r="G23" s="7" t="s">
        <v>335</v>
      </c>
      <c r="H23" s="7" t="s">
        <v>336</v>
      </c>
      <c r="I23" s="7" t="str">
        <f aca="false">B23&amp;"|"&amp;A23</f>
        <v>Germany|TRL-150-5</v>
      </c>
    </row>
    <row r="24" customFormat="false" ht="15" hidden="false" customHeight="false" outlineLevel="0" collapsed="false">
      <c r="A24" s="7" t="s">
        <v>73</v>
      </c>
      <c r="B24" s="7" t="s">
        <v>274</v>
      </c>
      <c r="C24" s="7" t="s">
        <v>306</v>
      </c>
      <c r="D24" s="7" t="n">
        <v>8</v>
      </c>
      <c r="E24" s="7" t="s">
        <v>276</v>
      </c>
      <c r="F24" s="7" t="s">
        <v>337</v>
      </c>
      <c r="G24" s="7" t="s">
        <v>338</v>
      </c>
      <c r="H24" s="7" t="s">
        <v>339</v>
      </c>
      <c r="I24" s="7" t="str">
        <f aca="false">B24&amp;"|"&amp;A24</f>
        <v>Brazil|TRL-150-5</v>
      </c>
    </row>
    <row r="25" customFormat="false" ht="15" hidden="false" customHeight="false" outlineLevel="0" collapsed="false">
      <c r="A25" s="7" t="s">
        <v>73</v>
      </c>
      <c r="B25" s="7" t="s">
        <v>280</v>
      </c>
      <c r="C25" s="7" t="s">
        <v>275</v>
      </c>
      <c r="D25" s="7" t="n">
        <v>3</v>
      </c>
      <c r="E25" s="7" t="s">
        <v>281</v>
      </c>
      <c r="F25" s="7" t="s">
        <v>340</v>
      </c>
      <c r="G25" s="7" t="s">
        <v>341</v>
      </c>
      <c r="H25" s="7" t="s">
        <v>342</v>
      </c>
      <c r="I25" s="7" t="str">
        <f aca="false">B25&amp;"|"&amp;A25</f>
        <v>Japan|TRL-150-5</v>
      </c>
    </row>
    <row r="26" customFormat="false" ht="15" hidden="false" customHeight="false" outlineLevel="0" collapsed="false">
      <c r="A26" s="7" t="s">
        <v>73</v>
      </c>
      <c r="B26" s="7" t="s">
        <v>285</v>
      </c>
      <c r="C26" s="7" t="s">
        <v>275</v>
      </c>
      <c r="D26" s="7" t="n">
        <v>4</v>
      </c>
      <c r="E26" s="7" t="s">
        <v>286</v>
      </c>
      <c r="F26" s="7" t="s">
        <v>343</v>
      </c>
      <c r="G26" s="7" t="s">
        <v>344</v>
      </c>
      <c r="H26" s="7" t="s">
        <v>345</v>
      </c>
      <c r="I26" s="7" t="str">
        <f aca="false">B26&amp;"|"&amp;A26</f>
        <v>Australia|TRL-150-5</v>
      </c>
    </row>
    <row r="27" customFormat="false" ht="15" hidden="false" customHeight="false" outlineLevel="0" collapsed="false">
      <c r="A27" s="7" t="s">
        <v>78</v>
      </c>
      <c r="B27" s="7" t="s">
        <v>3</v>
      </c>
      <c r="C27" s="7" t="s">
        <v>306</v>
      </c>
      <c r="D27" s="7" t="n">
        <v>6</v>
      </c>
      <c r="E27" s="7" t="s">
        <v>264</v>
      </c>
      <c r="F27" s="7" t="s">
        <v>346</v>
      </c>
      <c r="G27" s="7" t="s">
        <v>347</v>
      </c>
      <c r="H27" s="7" t="s">
        <v>267</v>
      </c>
      <c r="I27" s="7" t="str">
        <f aca="false">B27&amp;"|"&amp;A27</f>
        <v>USA|TRL-160-6</v>
      </c>
    </row>
    <row r="28" customFormat="false" ht="15" hidden="false" customHeight="false" outlineLevel="0" collapsed="false">
      <c r="A28" s="7" t="s">
        <v>78</v>
      </c>
      <c r="B28" s="7" t="s">
        <v>268</v>
      </c>
      <c r="C28" s="7" t="s">
        <v>263</v>
      </c>
      <c r="D28" s="7" t="n">
        <v>4</v>
      </c>
      <c r="E28" s="7" t="s">
        <v>270</v>
      </c>
      <c r="F28" s="7" t="s">
        <v>348</v>
      </c>
      <c r="G28" s="7" t="s">
        <v>349</v>
      </c>
      <c r="H28" s="7" t="s">
        <v>350</v>
      </c>
      <c r="I28" s="7" t="str">
        <f aca="false">B28&amp;"|"&amp;A28</f>
        <v>Germany|TRL-160-6</v>
      </c>
    </row>
    <row r="29" customFormat="false" ht="15" hidden="false" customHeight="false" outlineLevel="0" collapsed="false">
      <c r="A29" s="7" t="s">
        <v>78</v>
      </c>
      <c r="B29" s="7" t="s">
        <v>274</v>
      </c>
      <c r="C29" s="7" t="s">
        <v>275</v>
      </c>
      <c r="D29" s="7" t="n">
        <v>7</v>
      </c>
      <c r="E29" s="7" t="s">
        <v>276</v>
      </c>
      <c r="F29" s="7" t="s">
        <v>351</v>
      </c>
      <c r="G29" s="7" t="s">
        <v>352</v>
      </c>
      <c r="H29" s="7" t="s">
        <v>353</v>
      </c>
      <c r="I29" s="7" t="str">
        <f aca="false">B29&amp;"|"&amp;A29</f>
        <v>Brazil|TRL-160-6</v>
      </c>
    </row>
    <row r="30" customFormat="false" ht="15" hidden="false" customHeight="false" outlineLevel="0" collapsed="false">
      <c r="A30" s="7" t="s">
        <v>78</v>
      </c>
      <c r="B30" s="7" t="s">
        <v>280</v>
      </c>
      <c r="C30" s="7" t="s">
        <v>275</v>
      </c>
      <c r="D30" s="7" t="n">
        <v>7</v>
      </c>
      <c r="E30" s="7" t="s">
        <v>281</v>
      </c>
      <c r="F30" s="7" t="s">
        <v>354</v>
      </c>
      <c r="G30" s="7" t="s">
        <v>355</v>
      </c>
      <c r="H30" s="7" t="s">
        <v>356</v>
      </c>
      <c r="I30" s="7" t="str">
        <f aca="false">B30&amp;"|"&amp;A30</f>
        <v>Japan|TRL-160-6</v>
      </c>
    </row>
    <row r="31" customFormat="false" ht="15" hidden="false" customHeight="false" outlineLevel="0" collapsed="false">
      <c r="A31" s="7" t="s">
        <v>78</v>
      </c>
      <c r="B31" s="7" t="s">
        <v>285</v>
      </c>
      <c r="C31" s="7" t="s">
        <v>269</v>
      </c>
      <c r="D31" s="7" t="n">
        <v>6</v>
      </c>
      <c r="E31" s="7" t="s">
        <v>286</v>
      </c>
      <c r="F31" s="7" t="s">
        <v>357</v>
      </c>
      <c r="G31" s="7" t="s">
        <v>358</v>
      </c>
      <c r="H31" s="7" t="s">
        <v>359</v>
      </c>
      <c r="I31" s="7" t="str">
        <f aca="false">B31&amp;"|"&amp;A31</f>
        <v>Australia|TRL-160-6</v>
      </c>
    </row>
    <row r="32" customFormat="false" ht="15" hidden="false" customHeight="false" outlineLevel="0" collapsed="false">
      <c r="A32" s="7" t="s">
        <v>83</v>
      </c>
      <c r="B32" s="7" t="s">
        <v>3</v>
      </c>
      <c r="C32" s="7" t="s">
        <v>263</v>
      </c>
      <c r="D32" s="7" t="n">
        <v>5</v>
      </c>
      <c r="E32" s="7" t="s">
        <v>264</v>
      </c>
      <c r="F32" s="7" t="s">
        <v>360</v>
      </c>
      <c r="G32" s="7" t="s">
        <v>361</v>
      </c>
      <c r="H32" s="7" t="s">
        <v>267</v>
      </c>
      <c r="I32" s="7" t="str">
        <f aca="false">B32&amp;"|"&amp;A32</f>
        <v>USA|TRL-170-7</v>
      </c>
    </row>
    <row r="33" customFormat="false" ht="15" hidden="false" customHeight="false" outlineLevel="0" collapsed="false">
      <c r="A33" s="7" t="s">
        <v>83</v>
      </c>
      <c r="B33" s="7" t="s">
        <v>268</v>
      </c>
      <c r="C33" s="7" t="s">
        <v>306</v>
      </c>
      <c r="D33" s="7" t="n">
        <v>7</v>
      </c>
      <c r="E33" s="7" t="s">
        <v>270</v>
      </c>
      <c r="F33" s="7" t="s">
        <v>362</v>
      </c>
      <c r="G33" s="7" t="s">
        <v>363</v>
      </c>
      <c r="H33" s="7" t="s">
        <v>364</v>
      </c>
      <c r="I33" s="7" t="str">
        <f aca="false">B33&amp;"|"&amp;A33</f>
        <v>Germany|TRL-170-7</v>
      </c>
    </row>
    <row r="34" customFormat="false" ht="15" hidden="false" customHeight="false" outlineLevel="0" collapsed="false">
      <c r="A34" s="7" t="s">
        <v>83</v>
      </c>
      <c r="B34" s="7" t="s">
        <v>274</v>
      </c>
      <c r="C34" s="7" t="s">
        <v>269</v>
      </c>
      <c r="D34" s="7" t="n">
        <v>7</v>
      </c>
      <c r="E34" s="7" t="s">
        <v>276</v>
      </c>
      <c r="F34" s="7" t="s">
        <v>365</v>
      </c>
      <c r="G34" s="7" t="s">
        <v>366</v>
      </c>
      <c r="H34" s="7" t="s">
        <v>367</v>
      </c>
      <c r="I34" s="7" t="str">
        <f aca="false">B34&amp;"|"&amp;A34</f>
        <v>Brazil|TRL-170-7</v>
      </c>
    </row>
    <row r="35" customFormat="false" ht="15" hidden="false" customHeight="false" outlineLevel="0" collapsed="false">
      <c r="A35" s="7" t="s">
        <v>83</v>
      </c>
      <c r="B35" s="7" t="s">
        <v>280</v>
      </c>
      <c r="C35" s="7" t="s">
        <v>263</v>
      </c>
      <c r="D35" s="7" t="n">
        <v>8</v>
      </c>
      <c r="E35" s="7" t="s">
        <v>281</v>
      </c>
      <c r="F35" s="7" t="s">
        <v>368</v>
      </c>
      <c r="G35" s="7" t="s">
        <v>369</v>
      </c>
      <c r="H35" s="7" t="s">
        <v>370</v>
      </c>
      <c r="I35" s="7" t="str">
        <f aca="false">B35&amp;"|"&amp;A35</f>
        <v>Japan|TRL-170-7</v>
      </c>
    </row>
    <row r="36" customFormat="false" ht="15" hidden="false" customHeight="false" outlineLevel="0" collapsed="false">
      <c r="A36" s="7" t="s">
        <v>83</v>
      </c>
      <c r="B36" s="7" t="s">
        <v>285</v>
      </c>
      <c r="C36" s="7" t="s">
        <v>275</v>
      </c>
      <c r="D36" s="7" t="n">
        <v>6</v>
      </c>
      <c r="E36" s="7" t="s">
        <v>286</v>
      </c>
      <c r="F36" s="7" t="s">
        <v>371</v>
      </c>
      <c r="G36" s="7" t="s">
        <v>372</v>
      </c>
      <c r="H36" s="7" t="s">
        <v>373</v>
      </c>
      <c r="I36" s="7" t="str">
        <f aca="false">B36&amp;"|"&amp;A36</f>
        <v>Australia|TRL-170-7</v>
      </c>
    </row>
    <row r="37" customFormat="false" ht="15" hidden="false" customHeight="false" outlineLevel="0" collapsed="false">
      <c r="A37" s="7" t="s">
        <v>88</v>
      </c>
      <c r="B37" s="7" t="s">
        <v>3</v>
      </c>
      <c r="C37" s="7" t="s">
        <v>275</v>
      </c>
      <c r="D37" s="7" t="n">
        <v>1</v>
      </c>
      <c r="E37" s="7" t="s">
        <v>264</v>
      </c>
      <c r="F37" s="7" t="s">
        <v>374</v>
      </c>
      <c r="G37" s="7" t="s">
        <v>375</v>
      </c>
      <c r="H37" s="7" t="s">
        <v>267</v>
      </c>
      <c r="I37" s="7" t="str">
        <f aca="false">B37&amp;"|"&amp;A37</f>
        <v>USA|TRL-180-8</v>
      </c>
    </row>
    <row r="38" customFormat="false" ht="15" hidden="false" customHeight="false" outlineLevel="0" collapsed="false">
      <c r="A38" s="7" t="s">
        <v>88</v>
      </c>
      <c r="B38" s="7" t="s">
        <v>268</v>
      </c>
      <c r="C38" s="7" t="s">
        <v>263</v>
      </c>
      <c r="D38" s="7" t="n">
        <v>2</v>
      </c>
      <c r="E38" s="7" t="s">
        <v>270</v>
      </c>
      <c r="F38" s="7" t="s">
        <v>376</v>
      </c>
      <c r="G38" s="7" t="s">
        <v>377</v>
      </c>
      <c r="H38" s="7" t="s">
        <v>378</v>
      </c>
      <c r="I38" s="7" t="str">
        <f aca="false">B38&amp;"|"&amp;A38</f>
        <v>Germany|TRL-180-8</v>
      </c>
    </row>
    <row r="39" customFormat="false" ht="15" hidden="false" customHeight="false" outlineLevel="0" collapsed="false">
      <c r="A39" s="7" t="s">
        <v>88</v>
      </c>
      <c r="B39" s="7" t="s">
        <v>274</v>
      </c>
      <c r="C39" s="7" t="s">
        <v>269</v>
      </c>
      <c r="D39" s="7" t="n">
        <v>3</v>
      </c>
      <c r="E39" s="7" t="s">
        <v>276</v>
      </c>
      <c r="F39" s="7" t="s">
        <v>379</v>
      </c>
      <c r="G39" s="7" t="s">
        <v>380</v>
      </c>
      <c r="H39" s="7" t="s">
        <v>381</v>
      </c>
      <c r="I39" s="7" t="str">
        <f aca="false">B39&amp;"|"&amp;A39</f>
        <v>Brazil|TRL-180-8</v>
      </c>
    </row>
    <row r="40" customFormat="false" ht="15" hidden="false" customHeight="false" outlineLevel="0" collapsed="false">
      <c r="A40" s="7" t="s">
        <v>88</v>
      </c>
      <c r="B40" s="7" t="s">
        <v>280</v>
      </c>
      <c r="C40" s="7" t="s">
        <v>263</v>
      </c>
      <c r="D40" s="7" t="n">
        <v>8</v>
      </c>
      <c r="E40" s="7" t="s">
        <v>281</v>
      </c>
      <c r="F40" s="7" t="s">
        <v>382</v>
      </c>
      <c r="G40" s="7" t="s">
        <v>383</v>
      </c>
      <c r="H40" s="7" t="s">
        <v>384</v>
      </c>
      <c r="I40" s="7" t="str">
        <f aca="false">B40&amp;"|"&amp;A40</f>
        <v>Japan|TRL-180-8</v>
      </c>
    </row>
    <row r="41" customFormat="false" ht="15" hidden="false" customHeight="false" outlineLevel="0" collapsed="false">
      <c r="A41" s="7" t="s">
        <v>88</v>
      </c>
      <c r="B41" s="7" t="s">
        <v>285</v>
      </c>
      <c r="C41" s="7" t="s">
        <v>269</v>
      </c>
      <c r="D41" s="7" t="n">
        <v>3</v>
      </c>
      <c r="E41" s="7" t="s">
        <v>286</v>
      </c>
      <c r="F41" s="7" t="s">
        <v>385</v>
      </c>
      <c r="G41" s="7" t="s">
        <v>386</v>
      </c>
      <c r="H41" s="7" t="s">
        <v>387</v>
      </c>
      <c r="I41" s="7" t="str">
        <f aca="false">B41&amp;"|"&amp;A41</f>
        <v>Australia|TRL-180-8</v>
      </c>
    </row>
    <row r="42" customFormat="false" ht="15" hidden="false" customHeight="false" outlineLevel="0" collapsed="false">
      <c r="A42" s="7" t="s">
        <v>93</v>
      </c>
      <c r="B42" s="7" t="s">
        <v>3</v>
      </c>
      <c r="C42" s="7" t="s">
        <v>275</v>
      </c>
      <c r="D42" s="7" t="n">
        <v>7</v>
      </c>
      <c r="E42" s="7" t="s">
        <v>388</v>
      </c>
      <c r="F42" s="7" t="s">
        <v>389</v>
      </c>
      <c r="G42" s="7" t="s">
        <v>390</v>
      </c>
      <c r="H42" s="7" t="s">
        <v>267</v>
      </c>
      <c r="I42" s="7" t="str">
        <f aca="false">B42&amp;"|"&amp;A42</f>
        <v>USA|VLX-110-1</v>
      </c>
    </row>
    <row r="43" customFormat="false" ht="15" hidden="false" customHeight="false" outlineLevel="0" collapsed="false">
      <c r="A43" s="7" t="s">
        <v>93</v>
      </c>
      <c r="B43" s="7" t="s">
        <v>268</v>
      </c>
      <c r="C43" s="7" t="s">
        <v>263</v>
      </c>
      <c r="D43" s="7" t="n">
        <v>2</v>
      </c>
      <c r="E43" s="7" t="s">
        <v>391</v>
      </c>
      <c r="F43" s="7" t="s">
        <v>392</v>
      </c>
      <c r="G43" s="7" t="s">
        <v>383</v>
      </c>
      <c r="H43" s="7" t="s">
        <v>393</v>
      </c>
      <c r="I43" s="7" t="str">
        <f aca="false">B43&amp;"|"&amp;A43</f>
        <v>Germany|VLX-110-1</v>
      </c>
    </row>
    <row r="44" customFormat="false" ht="15" hidden="false" customHeight="false" outlineLevel="0" collapsed="false">
      <c r="A44" s="7" t="s">
        <v>93</v>
      </c>
      <c r="B44" s="7" t="s">
        <v>274</v>
      </c>
      <c r="C44" s="7" t="s">
        <v>269</v>
      </c>
      <c r="D44" s="7" t="n">
        <v>6</v>
      </c>
      <c r="E44" s="7" t="s">
        <v>394</v>
      </c>
      <c r="F44" s="7" t="s">
        <v>395</v>
      </c>
      <c r="G44" s="7" t="s">
        <v>396</v>
      </c>
      <c r="H44" s="7" t="s">
        <v>397</v>
      </c>
      <c r="I44" s="7" t="str">
        <f aca="false">B44&amp;"|"&amp;A44</f>
        <v>Brazil|VLX-110-1</v>
      </c>
    </row>
    <row r="45" customFormat="false" ht="15" hidden="false" customHeight="false" outlineLevel="0" collapsed="false">
      <c r="A45" s="7" t="s">
        <v>93</v>
      </c>
      <c r="B45" s="7" t="s">
        <v>280</v>
      </c>
      <c r="C45" s="7" t="s">
        <v>306</v>
      </c>
      <c r="D45" s="7" t="n">
        <v>1</v>
      </c>
      <c r="E45" s="7" t="s">
        <v>398</v>
      </c>
      <c r="F45" s="7" t="s">
        <v>399</v>
      </c>
      <c r="G45" s="7" t="s">
        <v>400</v>
      </c>
      <c r="H45" s="7" t="s">
        <v>401</v>
      </c>
      <c r="I45" s="7" t="str">
        <f aca="false">B45&amp;"|"&amp;A45</f>
        <v>Japan|VLX-110-1</v>
      </c>
    </row>
    <row r="46" customFormat="false" ht="15" hidden="false" customHeight="false" outlineLevel="0" collapsed="false">
      <c r="A46" s="7" t="s">
        <v>93</v>
      </c>
      <c r="B46" s="7" t="s">
        <v>285</v>
      </c>
      <c r="C46" s="7" t="s">
        <v>306</v>
      </c>
      <c r="D46" s="7" t="n">
        <v>8</v>
      </c>
      <c r="E46" s="7" t="s">
        <v>402</v>
      </c>
      <c r="F46" s="7" t="s">
        <v>403</v>
      </c>
      <c r="G46" s="7" t="s">
        <v>404</v>
      </c>
      <c r="H46" s="7" t="s">
        <v>405</v>
      </c>
      <c r="I46" s="7" t="str">
        <f aca="false">B46&amp;"|"&amp;A46</f>
        <v>Australia|VLX-110-1</v>
      </c>
    </row>
    <row r="47" customFormat="false" ht="15" hidden="false" customHeight="false" outlineLevel="0" collapsed="false">
      <c r="A47" s="7" t="s">
        <v>100</v>
      </c>
      <c r="B47" s="7" t="s">
        <v>3</v>
      </c>
      <c r="C47" s="7" t="s">
        <v>275</v>
      </c>
      <c r="D47" s="7" t="n">
        <v>8</v>
      </c>
      <c r="E47" s="7" t="s">
        <v>388</v>
      </c>
      <c r="F47" s="7" t="s">
        <v>406</v>
      </c>
      <c r="G47" s="7" t="s">
        <v>407</v>
      </c>
      <c r="H47" s="7" t="s">
        <v>267</v>
      </c>
      <c r="I47" s="7" t="str">
        <f aca="false">B47&amp;"|"&amp;A47</f>
        <v>USA|VLX-120-2</v>
      </c>
    </row>
    <row r="48" customFormat="false" ht="15" hidden="false" customHeight="false" outlineLevel="0" collapsed="false">
      <c r="A48" s="7" t="s">
        <v>100</v>
      </c>
      <c r="B48" s="7" t="s">
        <v>268</v>
      </c>
      <c r="C48" s="7" t="s">
        <v>263</v>
      </c>
      <c r="D48" s="7" t="n">
        <v>2</v>
      </c>
      <c r="E48" s="7" t="s">
        <v>391</v>
      </c>
      <c r="F48" s="7" t="s">
        <v>408</v>
      </c>
      <c r="G48" s="7" t="s">
        <v>409</v>
      </c>
      <c r="H48" s="7" t="s">
        <v>410</v>
      </c>
      <c r="I48" s="7" t="str">
        <f aca="false">B48&amp;"|"&amp;A48</f>
        <v>Germany|VLX-120-2</v>
      </c>
    </row>
    <row r="49" customFormat="false" ht="15" hidden="false" customHeight="false" outlineLevel="0" collapsed="false">
      <c r="A49" s="7" t="s">
        <v>100</v>
      </c>
      <c r="B49" s="7" t="s">
        <v>274</v>
      </c>
      <c r="C49" s="7" t="s">
        <v>275</v>
      </c>
      <c r="D49" s="7" t="n">
        <v>6</v>
      </c>
      <c r="E49" s="7" t="s">
        <v>394</v>
      </c>
      <c r="F49" s="7" t="s">
        <v>411</v>
      </c>
      <c r="G49" s="7" t="s">
        <v>412</v>
      </c>
      <c r="H49" s="7" t="s">
        <v>413</v>
      </c>
      <c r="I49" s="7" t="str">
        <f aca="false">B49&amp;"|"&amp;A49</f>
        <v>Brazil|VLX-120-2</v>
      </c>
    </row>
    <row r="50" customFormat="false" ht="15" hidden="false" customHeight="false" outlineLevel="0" collapsed="false">
      <c r="A50" s="7" t="s">
        <v>100</v>
      </c>
      <c r="B50" s="7" t="s">
        <v>280</v>
      </c>
      <c r="C50" s="7" t="s">
        <v>263</v>
      </c>
      <c r="D50" s="7" t="n">
        <v>6</v>
      </c>
      <c r="E50" s="7" t="s">
        <v>398</v>
      </c>
      <c r="F50" s="7" t="s">
        <v>414</v>
      </c>
      <c r="G50" s="7" t="s">
        <v>415</v>
      </c>
      <c r="H50" s="7" t="s">
        <v>416</v>
      </c>
      <c r="I50" s="7" t="str">
        <f aca="false">B50&amp;"|"&amp;A50</f>
        <v>Japan|VLX-120-2</v>
      </c>
    </row>
    <row r="51" customFormat="false" ht="15" hidden="false" customHeight="false" outlineLevel="0" collapsed="false">
      <c r="A51" s="7" t="s">
        <v>100</v>
      </c>
      <c r="B51" s="7" t="s">
        <v>285</v>
      </c>
      <c r="C51" s="7" t="s">
        <v>269</v>
      </c>
      <c r="D51" s="7" t="n">
        <v>4</v>
      </c>
      <c r="E51" s="7" t="s">
        <v>402</v>
      </c>
      <c r="F51" s="7" t="s">
        <v>417</v>
      </c>
      <c r="G51" s="7" t="s">
        <v>418</v>
      </c>
      <c r="H51" s="7" t="s">
        <v>419</v>
      </c>
      <c r="I51" s="7" t="str">
        <f aca="false">B51&amp;"|"&amp;A51</f>
        <v>Australia|VLX-120-2</v>
      </c>
    </row>
    <row r="52" customFormat="false" ht="15" hidden="false" customHeight="false" outlineLevel="0" collapsed="false">
      <c r="A52" s="7" t="s">
        <v>105</v>
      </c>
      <c r="B52" s="7" t="s">
        <v>3</v>
      </c>
      <c r="C52" s="7" t="s">
        <v>263</v>
      </c>
      <c r="D52" s="7" t="n">
        <v>8</v>
      </c>
      <c r="E52" s="7" t="s">
        <v>388</v>
      </c>
      <c r="F52" s="7" t="s">
        <v>420</v>
      </c>
      <c r="G52" s="7" t="s">
        <v>421</v>
      </c>
      <c r="H52" s="7" t="s">
        <v>267</v>
      </c>
      <c r="I52" s="7" t="str">
        <f aca="false">B52&amp;"|"&amp;A52</f>
        <v>USA|VLX-130-3</v>
      </c>
    </row>
    <row r="53" customFormat="false" ht="15" hidden="false" customHeight="false" outlineLevel="0" collapsed="false">
      <c r="A53" s="7" t="s">
        <v>105</v>
      </c>
      <c r="B53" s="7" t="s">
        <v>268</v>
      </c>
      <c r="C53" s="7" t="s">
        <v>269</v>
      </c>
      <c r="D53" s="7" t="n">
        <v>2</v>
      </c>
      <c r="E53" s="7" t="s">
        <v>391</v>
      </c>
      <c r="F53" s="7" t="s">
        <v>422</v>
      </c>
      <c r="G53" s="7" t="s">
        <v>423</v>
      </c>
      <c r="H53" s="7" t="s">
        <v>424</v>
      </c>
      <c r="I53" s="7" t="str">
        <f aca="false">B53&amp;"|"&amp;A53</f>
        <v>Germany|VLX-130-3</v>
      </c>
    </row>
    <row r="54" customFormat="false" ht="15" hidden="false" customHeight="false" outlineLevel="0" collapsed="false">
      <c r="A54" s="7" t="s">
        <v>105</v>
      </c>
      <c r="B54" s="7" t="s">
        <v>274</v>
      </c>
      <c r="C54" s="7" t="s">
        <v>306</v>
      </c>
      <c r="D54" s="7" t="n">
        <v>8</v>
      </c>
      <c r="E54" s="7" t="s">
        <v>394</v>
      </c>
      <c r="F54" s="7" t="s">
        <v>425</v>
      </c>
      <c r="G54" s="7" t="s">
        <v>426</v>
      </c>
      <c r="H54" s="7" t="s">
        <v>427</v>
      </c>
      <c r="I54" s="7" t="str">
        <f aca="false">B54&amp;"|"&amp;A54</f>
        <v>Brazil|VLX-130-3</v>
      </c>
    </row>
    <row r="55" customFormat="false" ht="15" hidden="false" customHeight="false" outlineLevel="0" collapsed="false">
      <c r="A55" s="7" t="s">
        <v>105</v>
      </c>
      <c r="B55" s="7" t="s">
        <v>280</v>
      </c>
      <c r="C55" s="7" t="s">
        <v>306</v>
      </c>
      <c r="D55" s="7" t="n">
        <v>6</v>
      </c>
      <c r="E55" s="7" t="s">
        <v>398</v>
      </c>
      <c r="F55" s="7" t="s">
        <v>428</v>
      </c>
      <c r="G55" s="7" t="s">
        <v>429</v>
      </c>
      <c r="H55" s="7" t="s">
        <v>430</v>
      </c>
      <c r="I55" s="7" t="str">
        <f aca="false">B55&amp;"|"&amp;A55</f>
        <v>Japan|VLX-130-3</v>
      </c>
    </row>
    <row r="56" customFormat="false" ht="15" hidden="false" customHeight="false" outlineLevel="0" collapsed="false">
      <c r="A56" s="7" t="s">
        <v>105</v>
      </c>
      <c r="B56" s="7" t="s">
        <v>285</v>
      </c>
      <c r="C56" s="7" t="s">
        <v>269</v>
      </c>
      <c r="D56" s="7" t="n">
        <v>4</v>
      </c>
      <c r="E56" s="7" t="s">
        <v>402</v>
      </c>
      <c r="F56" s="7" t="s">
        <v>431</v>
      </c>
      <c r="G56" s="7" t="s">
        <v>432</v>
      </c>
      <c r="H56" s="7" t="s">
        <v>433</v>
      </c>
      <c r="I56" s="7" t="str">
        <f aca="false">B56&amp;"|"&amp;A56</f>
        <v>Australia|VLX-130-3</v>
      </c>
    </row>
    <row r="57" customFormat="false" ht="15" hidden="false" customHeight="false" outlineLevel="0" collapsed="false">
      <c r="A57" s="7" t="s">
        <v>110</v>
      </c>
      <c r="B57" s="7" t="s">
        <v>3</v>
      </c>
      <c r="C57" s="7" t="s">
        <v>263</v>
      </c>
      <c r="D57" s="7" t="n">
        <v>8</v>
      </c>
      <c r="E57" s="7" t="s">
        <v>388</v>
      </c>
      <c r="F57" s="7" t="s">
        <v>434</v>
      </c>
      <c r="G57" s="7" t="s">
        <v>435</v>
      </c>
      <c r="H57" s="7" t="s">
        <v>267</v>
      </c>
      <c r="I57" s="7" t="str">
        <f aca="false">B57&amp;"|"&amp;A57</f>
        <v>USA|VLX-140-4</v>
      </c>
    </row>
    <row r="58" customFormat="false" ht="15" hidden="false" customHeight="false" outlineLevel="0" collapsed="false">
      <c r="A58" s="7" t="s">
        <v>110</v>
      </c>
      <c r="B58" s="7" t="s">
        <v>268</v>
      </c>
      <c r="C58" s="7" t="s">
        <v>306</v>
      </c>
      <c r="D58" s="7" t="n">
        <v>2</v>
      </c>
      <c r="E58" s="7" t="s">
        <v>391</v>
      </c>
      <c r="F58" s="7" t="s">
        <v>436</v>
      </c>
      <c r="G58" s="7" t="s">
        <v>437</v>
      </c>
      <c r="H58" s="7" t="s">
        <v>438</v>
      </c>
      <c r="I58" s="7" t="str">
        <f aca="false">B58&amp;"|"&amp;A58</f>
        <v>Germany|VLX-140-4</v>
      </c>
    </row>
    <row r="59" customFormat="false" ht="15" hidden="false" customHeight="false" outlineLevel="0" collapsed="false">
      <c r="A59" s="7" t="s">
        <v>110</v>
      </c>
      <c r="B59" s="7" t="s">
        <v>274</v>
      </c>
      <c r="C59" s="7" t="s">
        <v>306</v>
      </c>
      <c r="D59" s="7" t="n">
        <v>1</v>
      </c>
      <c r="E59" s="7" t="s">
        <v>394</v>
      </c>
      <c r="F59" s="7" t="s">
        <v>439</v>
      </c>
      <c r="G59" s="7" t="s">
        <v>440</v>
      </c>
      <c r="H59" s="7" t="s">
        <v>441</v>
      </c>
      <c r="I59" s="7" t="str">
        <f aca="false">B59&amp;"|"&amp;A59</f>
        <v>Brazil|VLX-140-4</v>
      </c>
    </row>
    <row r="60" customFormat="false" ht="15" hidden="false" customHeight="false" outlineLevel="0" collapsed="false">
      <c r="A60" s="7" t="s">
        <v>110</v>
      </c>
      <c r="B60" s="7" t="s">
        <v>280</v>
      </c>
      <c r="C60" s="7" t="s">
        <v>306</v>
      </c>
      <c r="D60" s="7" t="n">
        <v>3</v>
      </c>
      <c r="E60" s="7" t="s">
        <v>398</v>
      </c>
      <c r="F60" s="7" t="s">
        <v>442</v>
      </c>
      <c r="G60" s="7" t="s">
        <v>443</v>
      </c>
      <c r="H60" s="7" t="s">
        <v>444</v>
      </c>
      <c r="I60" s="7" t="str">
        <f aca="false">B60&amp;"|"&amp;A60</f>
        <v>Japan|VLX-140-4</v>
      </c>
    </row>
    <row r="61" customFormat="false" ht="15" hidden="false" customHeight="false" outlineLevel="0" collapsed="false">
      <c r="A61" s="7" t="s">
        <v>110</v>
      </c>
      <c r="B61" s="7" t="s">
        <v>285</v>
      </c>
      <c r="C61" s="7" t="s">
        <v>275</v>
      </c>
      <c r="D61" s="7" t="n">
        <v>8</v>
      </c>
      <c r="E61" s="7" t="s">
        <v>402</v>
      </c>
      <c r="F61" s="7" t="s">
        <v>445</v>
      </c>
      <c r="G61" s="7" t="s">
        <v>446</v>
      </c>
      <c r="H61" s="7" t="s">
        <v>447</v>
      </c>
      <c r="I61" s="7" t="str">
        <f aca="false">B61&amp;"|"&amp;A61</f>
        <v>Australia|VLX-140-4</v>
      </c>
    </row>
    <row r="62" customFormat="false" ht="15" hidden="false" customHeight="false" outlineLevel="0" collapsed="false">
      <c r="A62" s="7" t="s">
        <v>115</v>
      </c>
      <c r="B62" s="7" t="s">
        <v>3</v>
      </c>
      <c r="C62" s="7" t="s">
        <v>269</v>
      </c>
      <c r="D62" s="7" t="n">
        <v>7</v>
      </c>
      <c r="E62" s="7" t="s">
        <v>388</v>
      </c>
      <c r="F62" s="7" t="s">
        <v>448</v>
      </c>
      <c r="G62" s="7" t="s">
        <v>449</v>
      </c>
      <c r="H62" s="7" t="s">
        <v>267</v>
      </c>
      <c r="I62" s="7" t="str">
        <f aca="false">B62&amp;"|"&amp;A62</f>
        <v>USA|VLX-150-5</v>
      </c>
    </row>
    <row r="63" customFormat="false" ht="15" hidden="false" customHeight="false" outlineLevel="0" collapsed="false">
      <c r="A63" s="7" t="s">
        <v>115</v>
      </c>
      <c r="B63" s="7" t="s">
        <v>268</v>
      </c>
      <c r="C63" s="7" t="s">
        <v>263</v>
      </c>
      <c r="D63" s="7" t="n">
        <v>5</v>
      </c>
      <c r="E63" s="7" t="s">
        <v>391</v>
      </c>
      <c r="F63" s="7" t="s">
        <v>450</v>
      </c>
      <c r="G63" s="7" t="s">
        <v>451</v>
      </c>
      <c r="H63" s="7" t="s">
        <v>452</v>
      </c>
      <c r="I63" s="7" t="str">
        <f aca="false">B63&amp;"|"&amp;A63</f>
        <v>Germany|VLX-150-5</v>
      </c>
    </row>
    <row r="64" customFormat="false" ht="15" hidden="false" customHeight="false" outlineLevel="0" collapsed="false">
      <c r="A64" s="7" t="s">
        <v>115</v>
      </c>
      <c r="B64" s="7" t="s">
        <v>274</v>
      </c>
      <c r="C64" s="7" t="s">
        <v>263</v>
      </c>
      <c r="D64" s="7" t="n">
        <v>7</v>
      </c>
      <c r="E64" s="7" t="s">
        <v>394</v>
      </c>
      <c r="F64" s="7" t="s">
        <v>453</v>
      </c>
      <c r="G64" s="7" t="s">
        <v>454</v>
      </c>
      <c r="H64" s="7" t="s">
        <v>455</v>
      </c>
      <c r="I64" s="7" t="str">
        <f aca="false">B64&amp;"|"&amp;A64</f>
        <v>Brazil|VLX-150-5</v>
      </c>
    </row>
    <row r="65" customFormat="false" ht="15" hidden="false" customHeight="false" outlineLevel="0" collapsed="false">
      <c r="A65" s="7" t="s">
        <v>115</v>
      </c>
      <c r="B65" s="7" t="s">
        <v>280</v>
      </c>
      <c r="C65" s="7" t="s">
        <v>269</v>
      </c>
      <c r="D65" s="7" t="n">
        <v>2</v>
      </c>
      <c r="E65" s="7" t="s">
        <v>398</v>
      </c>
      <c r="F65" s="7" t="s">
        <v>456</v>
      </c>
      <c r="G65" s="7" t="s">
        <v>457</v>
      </c>
      <c r="H65" s="7" t="s">
        <v>458</v>
      </c>
      <c r="I65" s="7" t="str">
        <f aca="false">B65&amp;"|"&amp;A65</f>
        <v>Japan|VLX-150-5</v>
      </c>
    </row>
    <row r="66" customFormat="false" ht="15" hidden="false" customHeight="false" outlineLevel="0" collapsed="false">
      <c r="A66" s="7" t="s">
        <v>115</v>
      </c>
      <c r="B66" s="7" t="s">
        <v>285</v>
      </c>
      <c r="C66" s="7" t="s">
        <v>263</v>
      </c>
      <c r="D66" s="7" t="n">
        <v>4</v>
      </c>
      <c r="E66" s="7" t="s">
        <v>402</v>
      </c>
      <c r="F66" s="7" t="s">
        <v>459</v>
      </c>
      <c r="G66" s="7" t="s">
        <v>460</v>
      </c>
      <c r="H66" s="7" t="s">
        <v>461</v>
      </c>
      <c r="I66" s="7" t="str">
        <f aca="false">B66&amp;"|"&amp;A66</f>
        <v>Australia|VLX-150-5</v>
      </c>
    </row>
    <row r="67" customFormat="false" ht="15" hidden="false" customHeight="false" outlineLevel="0" collapsed="false">
      <c r="A67" s="7" t="s">
        <v>120</v>
      </c>
      <c r="B67" s="7" t="s">
        <v>3</v>
      </c>
      <c r="C67" s="7" t="s">
        <v>275</v>
      </c>
      <c r="D67" s="7" t="n">
        <v>8</v>
      </c>
      <c r="E67" s="7" t="s">
        <v>388</v>
      </c>
      <c r="F67" s="7" t="s">
        <v>462</v>
      </c>
      <c r="G67" s="7" t="s">
        <v>463</v>
      </c>
      <c r="H67" s="7" t="s">
        <v>267</v>
      </c>
      <c r="I67" s="7" t="str">
        <f aca="false">B67&amp;"|"&amp;A67</f>
        <v>USA|VLX-160-6</v>
      </c>
    </row>
    <row r="68" customFormat="false" ht="15" hidden="false" customHeight="false" outlineLevel="0" collapsed="false">
      <c r="A68" s="7" t="s">
        <v>120</v>
      </c>
      <c r="B68" s="7" t="s">
        <v>268</v>
      </c>
      <c r="C68" s="7" t="s">
        <v>306</v>
      </c>
      <c r="D68" s="7" t="n">
        <v>8</v>
      </c>
      <c r="E68" s="7" t="s">
        <v>391</v>
      </c>
      <c r="F68" s="7" t="s">
        <v>464</v>
      </c>
      <c r="G68" s="7" t="s">
        <v>465</v>
      </c>
      <c r="H68" s="7" t="s">
        <v>466</v>
      </c>
      <c r="I68" s="7" t="str">
        <f aca="false">B68&amp;"|"&amp;A68</f>
        <v>Germany|VLX-160-6</v>
      </c>
    </row>
    <row r="69" customFormat="false" ht="15" hidden="false" customHeight="false" outlineLevel="0" collapsed="false">
      <c r="A69" s="7" t="s">
        <v>120</v>
      </c>
      <c r="B69" s="7" t="s">
        <v>274</v>
      </c>
      <c r="C69" s="7" t="s">
        <v>263</v>
      </c>
      <c r="D69" s="7" t="n">
        <v>7</v>
      </c>
      <c r="E69" s="7" t="s">
        <v>394</v>
      </c>
      <c r="F69" s="7" t="s">
        <v>467</v>
      </c>
      <c r="G69" s="7" t="s">
        <v>468</v>
      </c>
      <c r="H69" s="7" t="s">
        <v>469</v>
      </c>
      <c r="I69" s="7" t="str">
        <f aca="false">B69&amp;"|"&amp;A69</f>
        <v>Brazil|VLX-160-6</v>
      </c>
    </row>
    <row r="70" customFormat="false" ht="15" hidden="false" customHeight="false" outlineLevel="0" collapsed="false">
      <c r="A70" s="7" t="s">
        <v>120</v>
      </c>
      <c r="B70" s="7" t="s">
        <v>280</v>
      </c>
      <c r="C70" s="7" t="s">
        <v>263</v>
      </c>
      <c r="D70" s="7" t="n">
        <v>2</v>
      </c>
      <c r="E70" s="7" t="s">
        <v>398</v>
      </c>
      <c r="F70" s="7" t="s">
        <v>470</v>
      </c>
      <c r="G70" s="7" t="s">
        <v>471</v>
      </c>
      <c r="H70" s="7" t="s">
        <v>472</v>
      </c>
      <c r="I70" s="7" t="str">
        <f aca="false">B70&amp;"|"&amp;A70</f>
        <v>Japan|VLX-160-6</v>
      </c>
    </row>
    <row r="71" customFormat="false" ht="15" hidden="false" customHeight="false" outlineLevel="0" collapsed="false">
      <c r="A71" s="7" t="s">
        <v>120</v>
      </c>
      <c r="B71" s="7" t="s">
        <v>285</v>
      </c>
      <c r="C71" s="7" t="s">
        <v>275</v>
      </c>
      <c r="D71" s="7" t="n">
        <v>2</v>
      </c>
      <c r="E71" s="7" t="s">
        <v>402</v>
      </c>
      <c r="F71" s="7" t="s">
        <v>473</v>
      </c>
      <c r="G71" s="7" t="s">
        <v>474</v>
      </c>
      <c r="H71" s="7" t="s">
        <v>475</v>
      </c>
      <c r="I71" s="7" t="str">
        <f aca="false">B71&amp;"|"&amp;A71</f>
        <v>Australia|VLX-160-6</v>
      </c>
    </row>
    <row r="72" customFormat="false" ht="15" hidden="false" customHeight="false" outlineLevel="0" collapsed="false">
      <c r="A72" s="7" t="s">
        <v>125</v>
      </c>
      <c r="B72" s="7" t="s">
        <v>3</v>
      </c>
      <c r="C72" s="7" t="s">
        <v>275</v>
      </c>
      <c r="D72" s="7" t="n">
        <v>8</v>
      </c>
      <c r="E72" s="7" t="s">
        <v>388</v>
      </c>
      <c r="F72" s="7" t="s">
        <v>476</v>
      </c>
      <c r="G72" s="7" t="s">
        <v>477</v>
      </c>
      <c r="H72" s="7" t="s">
        <v>267</v>
      </c>
      <c r="I72" s="7" t="str">
        <f aca="false">B72&amp;"|"&amp;A72</f>
        <v>USA|VLX-170-7</v>
      </c>
    </row>
    <row r="73" customFormat="false" ht="15" hidden="false" customHeight="false" outlineLevel="0" collapsed="false">
      <c r="A73" s="7" t="s">
        <v>125</v>
      </c>
      <c r="B73" s="7" t="s">
        <v>268</v>
      </c>
      <c r="C73" s="7" t="s">
        <v>306</v>
      </c>
      <c r="D73" s="7" t="n">
        <v>5</v>
      </c>
      <c r="E73" s="7" t="s">
        <v>391</v>
      </c>
      <c r="F73" s="7" t="s">
        <v>478</v>
      </c>
      <c r="G73" s="7" t="s">
        <v>479</v>
      </c>
      <c r="H73" s="7" t="s">
        <v>480</v>
      </c>
      <c r="I73" s="7" t="str">
        <f aca="false">B73&amp;"|"&amp;A73</f>
        <v>Germany|VLX-170-7</v>
      </c>
    </row>
    <row r="74" customFormat="false" ht="15" hidden="false" customHeight="false" outlineLevel="0" collapsed="false">
      <c r="A74" s="7" t="s">
        <v>125</v>
      </c>
      <c r="B74" s="7" t="s">
        <v>274</v>
      </c>
      <c r="C74" s="7" t="s">
        <v>269</v>
      </c>
      <c r="D74" s="7" t="n">
        <v>5</v>
      </c>
      <c r="E74" s="7" t="s">
        <v>394</v>
      </c>
      <c r="F74" s="7" t="s">
        <v>481</v>
      </c>
      <c r="G74" s="7" t="s">
        <v>482</v>
      </c>
      <c r="H74" s="7" t="s">
        <v>483</v>
      </c>
      <c r="I74" s="7" t="str">
        <f aca="false">B74&amp;"|"&amp;A74</f>
        <v>Brazil|VLX-170-7</v>
      </c>
    </row>
    <row r="75" customFormat="false" ht="15" hidden="false" customHeight="false" outlineLevel="0" collapsed="false">
      <c r="A75" s="7" t="s">
        <v>125</v>
      </c>
      <c r="B75" s="7" t="s">
        <v>280</v>
      </c>
      <c r="C75" s="7" t="s">
        <v>275</v>
      </c>
      <c r="D75" s="7" t="n">
        <v>5</v>
      </c>
      <c r="E75" s="7" t="s">
        <v>398</v>
      </c>
      <c r="F75" s="7" t="s">
        <v>484</v>
      </c>
      <c r="G75" s="7" t="s">
        <v>485</v>
      </c>
      <c r="H75" s="7" t="s">
        <v>486</v>
      </c>
      <c r="I75" s="7" t="str">
        <f aca="false">B75&amp;"|"&amp;A75</f>
        <v>Japan|VLX-170-7</v>
      </c>
    </row>
    <row r="76" customFormat="false" ht="15" hidden="false" customHeight="false" outlineLevel="0" collapsed="false">
      <c r="A76" s="7" t="s">
        <v>125</v>
      </c>
      <c r="B76" s="7" t="s">
        <v>285</v>
      </c>
      <c r="C76" s="7" t="s">
        <v>275</v>
      </c>
      <c r="D76" s="7" t="n">
        <v>6</v>
      </c>
      <c r="E76" s="7" t="s">
        <v>402</v>
      </c>
      <c r="F76" s="7" t="s">
        <v>487</v>
      </c>
      <c r="G76" s="7" t="s">
        <v>488</v>
      </c>
      <c r="H76" s="7" t="s">
        <v>489</v>
      </c>
      <c r="I76" s="7" t="str">
        <f aca="false">B76&amp;"|"&amp;A76</f>
        <v>Australia|VLX-170-7</v>
      </c>
    </row>
    <row r="77" customFormat="false" ht="15" hidden="false" customHeight="false" outlineLevel="0" collapsed="false">
      <c r="A77" s="7" t="s">
        <v>130</v>
      </c>
      <c r="B77" s="7" t="s">
        <v>3</v>
      </c>
      <c r="C77" s="7" t="s">
        <v>306</v>
      </c>
      <c r="D77" s="7" t="n">
        <v>7</v>
      </c>
      <c r="E77" s="7" t="s">
        <v>388</v>
      </c>
      <c r="F77" s="7" t="s">
        <v>490</v>
      </c>
      <c r="G77" s="7" t="s">
        <v>491</v>
      </c>
      <c r="H77" s="7" t="s">
        <v>267</v>
      </c>
      <c r="I77" s="7" t="str">
        <f aca="false">B77&amp;"|"&amp;A77</f>
        <v>USA|VLX-180-8</v>
      </c>
    </row>
    <row r="78" customFormat="false" ht="15" hidden="false" customHeight="false" outlineLevel="0" collapsed="false">
      <c r="A78" s="7" t="s">
        <v>130</v>
      </c>
      <c r="B78" s="7" t="s">
        <v>268</v>
      </c>
      <c r="C78" s="7" t="s">
        <v>269</v>
      </c>
      <c r="D78" s="7" t="n">
        <v>8</v>
      </c>
      <c r="E78" s="7" t="s">
        <v>391</v>
      </c>
      <c r="F78" s="7" t="s">
        <v>492</v>
      </c>
      <c r="G78" s="7" t="s">
        <v>493</v>
      </c>
      <c r="H78" s="7" t="s">
        <v>494</v>
      </c>
      <c r="I78" s="7" t="str">
        <f aca="false">B78&amp;"|"&amp;A78</f>
        <v>Germany|VLX-180-8</v>
      </c>
    </row>
    <row r="79" customFormat="false" ht="15" hidden="false" customHeight="false" outlineLevel="0" collapsed="false">
      <c r="A79" s="7" t="s">
        <v>130</v>
      </c>
      <c r="B79" s="7" t="s">
        <v>274</v>
      </c>
      <c r="C79" s="7" t="s">
        <v>269</v>
      </c>
      <c r="D79" s="7" t="n">
        <v>8</v>
      </c>
      <c r="E79" s="7" t="s">
        <v>394</v>
      </c>
      <c r="F79" s="7" t="s">
        <v>495</v>
      </c>
      <c r="G79" s="7" t="s">
        <v>496</v>
      </c>
      <c r="H79" s="7" t="s">
        <v>497</v>
      </c>
      <c r="I79" s="7" t="str">
        <f aca="false">B79&amp;"|"&amp;A79</f>
        <v>Brazil|VLX-180-8</v>
      </c>
    </row>
    <row r="80" customFormat="false" ht="15" hidden="false" customHeight="false" outlineLevel="0" collapsed="false">
      <c r="A80" s="7" t="s">
        <v>130</v>
      </c>
      <c r="B80" s="7" t="s">
        <v>280</v>
      </c>
      <c r="C80" s="7" t="s">
        <v>275</v>
      </c>
      <c r="D80" s="7" t="n">
        <v>8</v>
      </c>
      <c r="E80" s="7" t="s">
        <v>398</v>
      </c>
      <c r="F80" s="7" t="s">
        <v>498</v>
      </c>
      <c r="G80" s="7" t="s">
        <v>499</v>
      </c>
      <c r="H80" s="7" t="s">
        <v>500</v>
      </c>
      <c r="I80" s="7" t="str">
        <f aca="false">B80&amp;"|"&amp;A80</f>
        <v>Japan|VLX-180-8</v>
      </c>
    </row>
    <row r="81" customFormat="false" ht="15" hidden="false" customHeight="false" outlineLevel="0" collapsed="false">
      <c r="A81" s="7" t="s">
        <v>130</v>
      </c>
      <c r="B81" s="7" t="s">
        <v>285</v>
      </c>
      <c r="C81" s="7" t="s">
        <v>306</v>
      </c>
      <c r="D81" s="7" t="n">
        <v>8</v>
      </c>
      <c r="E81" s="7" t="s">
        <v>402</v>
      </c>
      <c r="F81" s="7" t="s">
        <v>501</v>
      </c>
      <c r="G81" s="7" t="s">
        <v>491</v>
      </c>
      <c r="H81" s="7" t="s">
        <v>502</v>
      </c>
      <c r="I81" s="7" t="str">
        <f aca="false">B81&amp;"|"&amp;A81</f>
        <v>Australia|VLX-180-8</v>
      </c>
    </row>
    <row r="82" customFormat="false" ht="15" hidden="false" customHeight="false" outlineLevel="0" collapsed="false">
      <c r="A82" s="7" t="s">
        <v>135</v>
      </c>
      <c r="B82" s="7" t="s">
        <v>3</v>
      </c>
      <c r="C82" s="7" t="s">
        <v>306</v>
      </c>
      <c r="D82" s="7" t="n">
        <v>1</v>
      </c>
      <c r="E82" s="7" t="s">
        <v>503</v>
      </c>
      <c r="F82" s="7" t="s">
        <v>504</v>
      </c>
      <c r="G82" s="7" t="s">
        <v>505</v>
      </c>
      <c r="H82" s="7" t="s">
        <v>267</v>
      </c>
      <c r="I82" s="7" t="str">
        <f aca="false">B82&amp;"|"&amp;A82</f>
        <v>USA|ANX-110-1</v>
      </c>
    </row>
    <row r="83" customFormat="false" ht="15" hidden="false" customHeight="false" outlineLevel="0" collapsed="false">
      <c r="A83" s="7" t="s">
        <v>135</v>
      </c>
      <c r="B83" s="7" t="s">
        <v>268</v>
      </c>
      <c r="C83" s="7" t="s">
        <v>269</v>
      </c>
      <c r="D83" s="7" t="n">
        <v>8</v>
      </c>
      <c r="E83" s="7" t="s">
        <v>506</v>
      </c>
      <c r="F83" s="7" t="s">
        <v>507</v>
      </c>
      <c r="G83" s="7" t="s">
        <v>508</v>
      </c>
      <c r="H83" s="7" t="s">
        <v>509</v>
      </c>
      <c r="I83" s="7" t="str">
        <f aca="false">B83&amp;"|"&amp;A83</f>
        <v>Germany|ANX-110-1</v>
      </c>
    </row>
    <row r="84" customFormat="false" ht="15" hidden="false" customHeight="false" outlineLevel="0" collapsed="false">
      <c r="A84" s="7" t="s">
        <v>135</v>
      </c>
      <c r="B84" s="7" t="s">
        <v>274</v>
      </c>
      <c r="C84" s="7" t="s">
        <v>306</v>
      </c>
      <c r="D84" s="7" t="n">
        <v>7</v>
      </c>
      <c r="E84" s="7" t="s">
        <v>510</v>
      </c>
      <c r="F84" s="7" t="s">
        <v>511</v>
      </c>
      <c r="G84" s="7" t="s">
        <v>512</v>
      </c>
      <c r="H84" s="7" t="s">
        <v>513</v>
      </c>
      <c r="I84" s="7" t="str">
        <f aca="false">B84&amp;"|"&amp;A84</f>
        <v>Brazil|ANX-110-1</v>
      </c>
    </row>
    <row r="85" customFormat="false" ht="15" hidden="false" customHeight="false" outlineLevel="0" collapsed="false">
      <c r="A85" s="7" t="s">
        <v>135</v>
      </c>
      <c r="B85" s="7" t="s">
        <v>280</v>
      </c>
      <c r="C85" s="7" t="s">
        <v>263</v>
      </c>
      <c r="D85" s="7" t="n">
        <v>7</v>
      </c>
      <c r="E85" s="7" t="s">
        <v>514</v>
      </c>
      <c r="F85" s="7" t="s">
        <v>515</v>
      </c>
      <c r="G85" s="7" t="s">
        <v>516</v>
      </c>
      <c r="H85" s="7" t="s">
        <v>517</v>
      </c>
      <c r="I85" s="7" t="str">
        <f aca="false">B85&amp;"|"&amp;A85</f>
        <v>Japan|ANX-110-1</v>
      </c>
    </row>
    <row r="86" customFormat="false" ht="15" hidden="false" customHeight="false" outlineLevel="0" collapsed="false">
      <c r="A86" s="7" t="s">
        <v>135</v>
      </c>
      <c r="B86" s="7" t="s">
        <v>285</v>
      </c>
      <c r="C86" s="7" t="s">
        <v>306</v>
      </c>
      <c r="D86" s="7" t="n">
        <v>7</v>
      </c>
      <c r="E86" s="7" t="s">
        <v>518</v>
      </c>
      <c r="F86" s="7" t="s">
        <v>519</v>
      </c>
      <c r="G86" s="7" t="s">
        <v>352</v>
      </c>
      <c r="H86" s="7" t="s">
        <v>520</v>
      </c>
      <c r="I86" s="7" t="str">
        <f aca="false">B86&amp;"|"&amp;A86</f>
        <v>Australia|ANX-110-1</v>
      </c>
    </row>
    <row r="87" customFormat="false" ht="15" hidden="false" customHeight="false" outlineLevel="0" collapsed="false">
      <c r="A87" s="7" t="s">
        <v>141</v>
      </c>
      <c r="B87" s="7" t="s">
        <v>3</v>
      </c>
      <c r="C87" s="7" t="s">
        <v>275</v>
      </c>
      <c r="D87" s="7" t="n">
        <v>3</v>
      </c>
      <c r="E87" s="7" t="s">
        <v>503</v>
      </c>
      <c r="F87" s="7" t="s">
        <v>521</v>
      </c>
      <c r="G87" s="7" t="s">
        <v>522</v>
      </c>
      <c r="H87" s="7" t="s">
        <v>267</v>
      </c>
      <c r="I87" s="7" t="str">
        <f aca="false">B87&amp;"|"&amp;A87</f>
        <v>USA|ANX-120-2</v>
      </c>
    </row>
    <row r="88" customFormat="false" ht="15" hidden="false" customHeight="false" outlineLevel="0" collapsed="false">
      <c r="A88" s="7" t="s">
        <v>141</v>
      </c>
      <c r="B88" s="7" t="s">
        <v>268</v>
      </c>
      <c r="C88" s="7" t="s">
        <v>306</v>
      </c>
      <c r="D88" s="7" t="n">
        <v>7</v>
      </c>
      <c r="E88" s="7" t="s">
        <v>506</v>
      </c>
      <c r="F88" s="7" t="s">
        <v>523</v>
      </c>
      <c r="G88" s="7" t="s">
        <v>524</v>
      </c>
      <c r="H88" s="7" t="s">
        <v>525</v>
      </c>
      <c r="I88" s="7" t="str">
        <f aca="false">B88&amp;"|"&amp;A88</f>
        <v>Germany|ANX-120-2</v>
      </c>
    </row>
    <row r="89" customFormat="false" ht="15" hidden="false" customHeight="false" outlineLevel="0" collapsed="false">
      <c r="A89" s="7" t="s">
        <v>141</v>
      </c>
      <c r="B89" s="7" t="s">
        <v>274</v>
      </c>
      <c r="C89" s="7" t="s">
        <v>275</v>
      </c>
      <c r="D89" s="7" t="n">
        <v>4</v>
      </c>
      <c r="E89" s="7" t="s">
        <v>510</v>
      </c>
      <c r="F89" s="7" t="s">
        <v>526</v>
      </c>
      <c r="G89" s="7" t="s">
        <v>527</v>
      </c>
      <c r="H89" s="7" t="s">
        <v>528</v>
      </c>
      <c r="I89" s="7" t="str">
        <f aca="false">B89&amp;"|"&amp;A89</f>
        <v>Brazil|ANX-120-2</v>
      </c>
    </row>
    <row r="90" customFormat="false" ht="15" hidden="false" customHeight="false" outlineLevel="0" collapsed="false">
      <c r="A90" s="7" t="s">
        <v>141</v>
      </c>
      <c r="B90" s="7" t="s">
        <v>280</v>
      </c>
      <c r="C90" s="7" t="s">
        <v>275</v>
      </c>
      <c r="D90" s="7" t="n">
        <v>7</v>
      </c>
      <c r="E90" s="7" t="s">
        <v>514</v>
      </c>
      <c r="F90" s="7" t="s">
        <v>529</v>
      </c>
      <c r="G90" s="7" t="s">
        <v>530</v>
      </c>
      <c r="H90" s="7" t="s">
        <v>531</v>
      </c>
      <c r="I90" s="7" t="str">
        <f aca="false">B90&amp;"|"&amp;A90</f>
        <v>Japan|ANX-120-2</v>
      </c>
    </row>
    <row r="91" customFormat="false" ht="15" hidden="false" customHeight="false" outlineLevel="0" collapsed="false">
      <c r="A91" s="7" t="s">
        <v>141</v>
      </c>
      <c r="B91" s="7" t="s">
        <v>285</v>
      </c>
      <c r="C91" s="7" t="s">
        <v>306</v>
      </c>
      <c r="D91" s="7" t="n">
        <v>2</v>
      </c>
      <c r="E91" s="7" t="s">
        <v>518</v>
      </c>
      <c r="F91" s="7" t="s">
        <v>532</v>
      </c>
      <c r="G91" s="7" t="s">
        <v>533</v>
      </c>
      <c r="H91" s="7" t="s">
        <v>452</v>
      </c>
      <c r="I91" s="7" t="str">
        <f aca="false">B91&amp;"|"&amp;A91</f>
        <v>Australia|ANX-120-2</v>
      </c>
    </row>
    <row r="92" customFormat="false" ht="15" hidden="false" customHeight="false" outlineLevel="0" collapsed="false">
      <c r="A92" s="7" t="s">
        <v>146</v>
      </c>
      <c r="B92" s="7" t="s">
        <v>3</v>
      </c>
      <c r="C92" s="7" t="s">
        <v>263</v>
      </c>
      <c r="D92" s="7" t="n">
        <v>7</v>
      </c>
      <c r="E92" s="7" t="s">
        <v>503</v>
      </c>
      <c r="F92" s="7" t="s">
        <v>534</v>
      </c>
      <c r="G92" s="7" t="s">
        <v>535</v>
      </c>
      <c r="H92" s="7" t="s">
        <v>267</v>
      </c>
      <c r="I92" s="7" t="str">
        <f aca="false">B92&amp;"|"&amp;A92</f>
        <v>USA|ANX-130-3</v>
      </c>
    </row>
    <row r="93" customFormat="false" ht="15" hidden="false" customHeight="false" outlineLevel="0" collapsed="false">
      <c r="A93" s="7" t="s">
        <v>146</v>
      </c>
      <c r="B93" s="7" t="s">
        <v>268</v>
      </c>
      <c r="C93" s="7" t="s">
        <v>275</v>
      </c>
      <c r="D93" s="7" t="n">
        <v>5</v>
      </c>
      <c r="E93" s="7" t="s">
        <v>506</v>
      </c>
      <c r="F93" s="7" t="s">
        <v>536</v>
      </c>
      <c r="G93" s="7" t="s">
        <v>537</v>
      </c>
      <c r="H93" s="7" t="s">
        <v>538</v>
      </c>
      <c r="I93" s="7" t="str">
        <f aca="false">B93&amp;"|"&amp;A93</f>
        <v>Germany|ANX-130-3</v>
      </c>
    </row>
    <row r="94" customFormat="false" ht="15" hidden="false" customHeight="false" outlineLevel="0" collapsed="false">
      <c r="A94" s="7" t="s">
        <v>146</v>
      </c>
      <c r="B94" s="7" t="s">
        <v>274</v>
      </c>
      <c r="C94" s="7" t="s">
        <v>306</v>
      </c>
      <c r="D94" s="7" t="n">
        <v>7</v>
      </c>
      <c r="E94" s="7" t="s">
        <v>510</v>
      </c>
      <c r="F94" s="7" t="s">
        <v>539</v>
      </c>
      <c r="G94" s="7" t="s">
        <v>540</v>
      </c>
      <c r="H94" s="7" t="s">
        <v>541</v>
      </c>
      <c r="I94" s="7" t="str">
        <f aca="false">B94&amp;"|"&amp;A94</f>
        <v>Brazil|ANX-130-3</v>
      </c>
    </row>
    <row r="95" customFormat="false" ht="15" hidden="false" customHeight="false" outlineLevel="0" collapsed="false">
      <c r="A95" s="7" t="s">
        <v>146</v>
      </c>
      <c r="B95" s="7" t="s">
        <v>280</v>
      </c>
      <c r="C95" s="7" t="s">
        <v>269</v>
      </c>
      <c r="D95" s="7" t="n">
        <v>4</v>
      </c>
      <c r="E95" s="7" t="s">
        <v>514</v>
      </c>
      <c r="F95" s="7" t="s">
        <v>542</v>
      </c>
      <c r="G95" s="7" t="s">
        <v>543</v>
      </c>
      <c r="H95" s="7" t="s">
        <v>544</v>
      </c>
      <c r="I95" s="7" t="str">
        <f aca="false">B95&amp;"|"&amp;A95</f>
        <v>Japan|ANX-130-3</v>
      </c>
    </row>
    <row r="96" customFormat="false" ht="15" hidden="false" customHeight="false" outlineLevel="0" collapsed="false">
      <c r="A96" s="7" t="s">
        <v>146</v>
      </c>
      <c r="B96" s="7" t="s">
        <v>285</v>
      </c>
      <c r="C96" s="7" t="s">
        <v>269</v>
      </c>
      <c r="D96" s="7" t="n">
        <v>2</v>
      </c>
      <c r="E96" s="7" t="s">
        <v>518</v>
      </c>
      <c r="F96" s="7" t="s">
        <v>545</v>
      </c>
      <c r="G96" s="7" t="s">
        <v>546</v>
      </c>
      <c r="H96" s="7" t="s">
        <v>547</v>
      </c>
      <c r="I96" s="7" t="str">
        <f aca="false">B96&amp;"|"&amp;A96</f>
        <v>Australia|ANX-130-3</v>
      </c>
    </row>
    <row r="97" customFormat="false" ht="15" hidden="false" customHeight="false" outlineLevel="0" collapsed="false">
      <c r="A97" s="7" t="s">
        <v>151</v>
      </c>
      <c r="B97" s="7" t="s">
        <v>3</v>
      </c>
      <c r="C97" s="7" t="s">
        <v>306</v>
      </c>
      <c r="D97" s="7" t="n">
        <v>1</v>
      </c>
      <c r="E97" s="7" t="s">
        <v>503</v>
      </c>
      <c r="F97" s="7" t="s">
        <v>548</v>
      </c>
      <c r="G97" s="7" t="s">
        <v>549</v>
      </c>
      <c r="H97" s="7" t="s">
        <v>267</v>
      </c>
      <c r="I97" s="7" t="str">
        <f aca="false">B97&amp;"|"&amp;A97</f>
        <v>USA|ANX-140-4</v>
      </c>
    </row>
    <row r="98" customFormat="false" ht="15" hidden="false" customHeight="false" outlineLevel="0" collapsed="false">
      <c r="A98" s="7" t="s">
        <v>151</v>
      </c>
      <c r="B98" s="7" t="s">
        <v>268</v>
      </c>
      <c r="C98" s="7" t="s">
        <v>263</v>
      </c>
      <c r="D98" s="7" t="n">
        <v>4</v>
      </c>
      <c r="E98" s="7" t="s">
        <v>506</v>
      </c>
      <c r="F98" s="7" t="s">
        <v>550</v>
      </c>
      <c r="G98" s="7" t="s">
        <v>551</v>
      </c>
      <c r="H98" s="7" t="s">
        <v>552</v>
      </c>
      <c r="I98" s="7" t="str">
        <f aca="false">B98&amp;"|"&amp;A98</f>
        <v>Germany|ANX-140-4</v>
      </c>
    </row>
    <row r="99" customFormat="false" ht="15" hidden="false" customHeight="false" outlineLevel="0" collapsed="false">
      <c r="A99" s="7" t="s">
        <v>151</v>
      </c>
      <c r="B99" s="7" t="s">
        <v>274</v>
      </c>
      <c r="C99" s="7" t="s">
        <v>263</v>
      </c>
      <c r="D99" s="7" t="n">
        <v>2</v>
      </c>
      <c r="E99" s="7" t="s">
        <v>510</v>
      </c>
      <c r="F99" s="7" t="s">
        <v>553</v>
      </c>
      <c r="G99" s="7" t="s">
        <v>554</v>
      </c>
      <c r="H99" s="7" t="s">
        <v>555</v>
      </c>
      <c r="I99" s="7" t="str">
        <f aca="false">B99&amp;"|"&amp;A99</f>
        <v>Brazil|ANX-140-4</v>
      </c>
    </row>
    <row r="100" customFormat="false" ht="15" hidden="false" customHeight="false" outlineLevel="0" collapsed="false">
      <c r="A100" s="7" t="s">
        <v>151</v>
      </c>
      <c r="B100" s="7" t="s">
        <v>280</v>
      </c>
      <c r="C100" s="7" t="s">
        <v>263</v>
      </c>
      <c r="D100" s="7" t="n">
        <v>4</v>
      </c>
      <c r="E100" s="7" t="s">
        <v>514</v>
      </c>
      <c r="F100" s="7" t="s">
        <v>556</v>
      </c>
      <c r="G100" s="7" t="s">
        <v>557</v>
      </c>
      <c r="H100" s="7" t="s">
        <v>558</v>
      </c>
      <c r="I100" s="7" t="str">
        <f aca="false">B100&amp;"|"&amp;A100</f>
        <v>Japan|ANX-140-4</v>
      </c>
    </row>
    <row r="101" customFormat="false" ht="15" hidden="false" customHeight="false" outlineLevel="0" collapsed="false">
      <c r="A101" s="7" t="s">
        <v>151</v>
      </c>
      <c r="B101" s="7" t="s">
        <v>285</v>
      </c>
      <c r="C101" s="7" t="s">
        <v>275</v>
      </c>
      <c r="D101" s="7" t="n">
        <v>5</v>
      </c>
      <c r="E101" s="7" t="s">
        <v>518</v>
      </c>
      <c r="F101" s="7" t="s">
        <v>559</v>
      </c>
      <c r="G101" s="7" t="s">
        <v>560</v>
      </c>
      <c r="H101" s="7" t="s">
        <v>561</v>
      </c>
      <c r="I101" s="7" t="str">
        <f aca="false">B101&amp;"|"&amp;A101</f>
        <v>Australia|ANX-140-4</v>
      </c>
    </row>
    <row r="102" customFormat="false" ht="15" hidden="false" customHeight="false" outlineLevel="0" collapsed="false">
      <c r="A102" s="7" t="s">
        <v>156</v>
      </c>
      <c r="B102" s="7" t="s">
        <v>3</v>
      </c>
      <c r="C102" s="7" t="s">
        <v>306</v>
      </c>
      <c r="D102" s="7" t="n">
        <v>7</v>
      </c>
      <c r="E102" s="7" t="s">
        <v>503</v>
      </c>
      <c r="F102" s="7" t="s">
        <v>562</v>
      </c>
      <c r="G102" s="7" t="s">
        <v>563</v>
      </c>
      <c r="H102" s="7" t="s">
        <v>267</v>
      </c>
      <c r="I102" s="7" t="str">
        <f aca="false">B102&amp;"|"&amp;A102</f>
        <v>USA|ANX-150-5</v>
      </c>
    </row>
    <row r="103" customFormat="false" ht="15" hidden="false" customHeight="false" outlineLevel="0" collapsed="false">
      <c r="A103" s="7" t="s">
        <v>156</v>
      </c>
      <c r="B103" s="7" t="s">
        <v>268</v>
      </c>
      <c r="C103" s="7" t="s">
        <v>263</v>
      </c>
      <c r="D103" s="7" t="n">
        <v>7</v>
      </c>
      <c r="E103" s="7" t="s">
        <v>506</v>
      </c>
      <c r="F103" s="7" t="s">
        <v>564</v>
      </c>
      <c r="G103" s="7" t="s">
        <v>565</v>
      </c>
      <c r="H103" s="7" t="s">
        <v>566</v>
      </c>
      <c r="I103" s="7" t="str">
        <f aca="false">B103&amp;"|"&amp;A103</f>
        <v>Germany|ANX-150-5</v>
      </c>
    </row>
    <row r="104" customFormat="false" ht="15" hidden="false" customHeight="false" outlineLevel="0" collapsed="false">
      <c r="A104" s="7" t="s">
        <v>156</v>
      </c>
      <c r="B104" s="7" t="s">
        <v>274</v>
      </c>
      <c r="C104" s="7" t="s">
        <v>306</v>
      </c>
      <c r="D104" s="7" t="n">
        <v>5</v>
      </c>
      <c r="E104" s="7" t="s">
        <v>510</v>
      </c>
      <c r="F104" s="7" t="s">
        <v>567</v>
      </c>
      <c r="G104" s="7" t="s">
        <v>383</v>
      </c>
      <c r="H104" s="7" t="s">
        <v>568</v>
      </c>
      <c r="I104" s="7" t="str">
        <f aca="false">B104&amp;"|"&amp;A104</f>
        <v>Brazil|ANX-150-5</v>
      </c>
    </row>
    <row r="105" customFormat="false" ht="15" hidden="false" customHeight="false" outlineLevel="0" collapsed="false">
      <c r="A105" s="7" t="s">
        <v>156</v>
      </c>
      <c r="B105" s="7" t="s">
        <v>280</v>
      </c>
      <c r="C105" s="7" t="s">
        <v>269</v>
      </c>
      <c r="D105" s="7" t="n">
        <v>1</v>
      </c>
      <c r="E105" s="7" t="s">
        <v>514</v>
      </c>
      <c r="F105" s="7" t="s">
        <v>569</v>
      </c>
      <c r="G105" s="7" t="s">
        <v>570</v>
      </c>
      <c r="H105" s="7" t="s">
        <v>571</v>
      </c>
      <c r="I105" s="7" t="str">
        <f aca="false">B105&amp;"|"&amp;A105</f>
        <v>Japan|ANX-150-5</v>
      </c>
    </row>
    <row r="106" customFormat="false" ht="15" hidden="false" customHeight="false" outlineLevel="0" collapsed="false">
      <c r="A106" s="7" t="s">
        <v>156</v>
      </c>
      <c r="B106" s="7" t="s">
        <v>285</v>
      </c>
      <c r="C106" s="7" t="s">
        <v>306</v>
      </c>
      <c r="D106" s="7" t="n">
        <v>4</v>
      </c>
      <c r="E106" s="7" t="s">
        <v>518</v>
      </c>
      <c r="F106" s="7" t="s">
        <v>572</v>
      </c>
      <c r="G106" s="7" t="s">
        <v>458</v>
      </c>
      <c r="H106" s="7" t="s">
        <v>573</v>
      </c>
      <c r="I106" s="7" t="str">
        <f aca="false">B106&amp;"|"&amp;A106</f>
        <v>Australia|ANX-150-5</v>
      </c>
    </row>
    <row r="107" customFormat="false" ht="15" hidden="false" customHeight="false" outlineLevel="0" collapsed="false">
      <c r="A107" s="7" t="s">
        <v>161</v>
      </c>
      <c r="B107" s="7" t="s">
        <v>3</v>
      </c>
      <c r="C107" s="7" t="s">
        <v>269</v>
      </c>
      <c r="D107" s="7" t="n">
        <v>5</v>
      </c>
      <c r="E107" s="7" t="s">
        <v>503</v>
      </c>
      <c r="F107" s="7" t="s">
        <v>574</v>
      </c>
      <c r="G107" s="7" t="s">
        <v>575</v>
      </c>
      <c r="H107" s="7" t="s">
        <v>267</v>
      </c>
      <c r="I107" s="7" t="str">
        <f aca="false">B107&amp;"|"&amp;A107</f>
        <v>USA|ANX-160-6</v>
      </c>
    </row>
    <row r="108" customFormat="false" ht="15" hidden="false" customHeight="false" outlineLevel="0" collapsed="false">
      <c r="A108" s="7" t="s">
        <v>161</v>
      </c>
      <c r="B108" s="7" t="s">
        <v>268</v>
      </c>
      <c r="C108" s="7" t="s">
        <v>306</v>
      </c>
      <c r="D108" s="7" t="n">
        <v>3</v>
      </c>
      <c r="E108" s="7" t="s">
        <v>506</v>
      </c>
      <c r="F108" s="7" t="s">
        <v>576</v>
      </c>
      <c r="G108" s="7" t="s">
        <v>577</v>
      </c>
      <c r="H108" s="7" t="s">
        <v>578</v>
      </c>
      <c r="I108" s="7" t="str">
        <f aca="false">B108&amp;"|"&amp;A108</f>
        <v>Germany|ANX-160-6</v>
      </c>
    </row>
    <row r="109" customFormat="false" ht="15" hidden="false" customHeight="false" outlineLevel="0" collapsed="false">
      <c r="A109" s="7" t="s">
        <v>161</v>
      </c>
      <c r="B109" s="7" t="s">
        <v>274</v>
      </c>
      <c r="C109" s="7" t="s">
        <v>263</v>
      </c>
      <c r="D109" s="7" t="n">
        <v>3</v>
      </c>
      <c r="E109" s="7" t="s">
        <v>510</v>
      </c>
      <c r="F109" s="7" t="s">
        <v>579</v>
      </c>
      <c r="G109" s="7" t="s">
        <v>580</v>
      </c>
      <c r="H109" s="7" t="s">
        <v>581</v>
      </c>
      <c r="I109" s="7" t="str">
        <f aca="false">B109&amp;"|"&amp;A109</f>
        <v>Brazil|ANX-160-6</v>
      </c>
    </row>
    <row r="110" customFormat="false" ht="15" hidden="false" customHeight="false" outlineLevel="0" collapsed="false">
      <c r="A110" s="7" t="s">
        <v>161</v>
      </c>
      <c r="B110" s="7" t="s">
        <v>280</v>
      </c>
      <c r="C110" s="7" t="s">
        <v>263</v>
      </c>
      <c r="D110" s="7" t="n">
        <v>5</v>
      </c>
      <c r="E110" s="7" t="s">
        <v>514</v>
      </c>
      <c r="F110" s="7" t="s">
        <v>582</v>
      </c>
      <c r="G110" s="7" t="s">
        <v>512</v>
      </c>
      <c r="H110" s="7" t="s">
        <v>472</v>
      </c>
      <c r="I110" s="7" t="str">
        <f aca="false">B110&amp;"|"&amp;A110</f>
        <v>Japan|ANX-160-6</v>
      </c>
    </row>
    <row r="111" customFormat="false" ht="15" hidden="false" customHeight="false" outlineLevel="0" collapsed="false">
      <c r="A111" s="7" t="s">
        <v>161</v>
      </c>
      <c r="B111" s="7" t="s">
        <v>285</v>
      </c>
      <c r="C111" s="7" t="s">
        <v>275</v>
      </c>
      <c r="D111" s="7" t="n">
        <v>2</v>
      </c>
      <c r="E111" s="7" t="s">
        <v>518</v>
      </c>
      <c r="F111" s="7" t="s">
        <v>583</v>
      </c>
      <c r="G111" s="7" t="s">
        <v>584</v>
      </c>
      <c r="H111" s="7" t="s">
        <v>585</v>
      </c>
      <c r="I111" s="7" t="str">
        <f aca="false">B111&amp;"|"&amp;A111</f>
        <v>Australia|ANX-160-6</v>
      </c>
    </row>
    <row r="112" customFormat="false" ht="15" hidden="false" customHeight="false" outlineLevel="0" collapsed="false">
      <c r="A112" s="7" t="s">
        <v>166</v>
      </c>
      <c r="B112" s="7" t="s">
        <v>3</v>
      </c>
      <c r="C112" s="7" t="s">
        <v>306</v>
      </c>
      <c r="D112" s="7" t="n">
        <v>2</v>
      </c>
      <c r="E112" s="7" t="s">
        <v>503</v>
      </c>
      <c r="F112" s="7" t="s">
        <v>586</v>
      </c>
      <c r="G112" s="7" t="s">
        <v>587</v>
      </c>
      <c r="H112" s="7" t="s">
        <v>267</v>
      </c>
      <c r="I112" s="7" t="str">
        <f aca="false">B112&amp;"|"&amp;A112</f>
        <v>USA|ANX-170-7</v>
      </c>
    </row>
    <row r="113" customFormat="false" ht="15" hidden="false" customHeight="false" outlineLevel="0" collapsed="false">
      <c r="A113" s="7" t="s">
        <v>166</v>
      </c>
      <c r="B113" s="7" t="s">
        <v>268</v>
      </c>
      <c r="C113" s="7" t="s">
        <v>269</v>
      </c>
      <c r="D113" s="7" t="n">
        <v>8</v>
      </c>
      <c r="E113" s="7" t="s">
        <v>506</v>
      </c>
      <c r="F113" s="7" t="s">
        <v>588</v>
      </c>
      <c r="G113" s="7" t="s">
        <v>589</v>
      </c>
      <c r="H113" s="7" t="s">
        <v>590</v>
      </c>
      <c r="I113" s="7" t="str">
        <f aca="false">B113&amp;"|"&amp;A113</f>
        <v>Germany|ANX-170-7</v>
      </c>
    </row>
    <row r="114" customFormat="false" ht="15" hidden="false" customHeight="false" outlineLevel="0" collapsed="false">
      <c r="A114" s="7" t="s">
        <v>166</v>
      </c>
      <c r="B114" s="7" t="s">
        <v>274</v>
      </c>
      <c r="C114" s="7" t="s">
        <v>275</v>
      </c>
      <c r="D114" s="7" t="n">
        <v>6</v>
      </c>
      <c r="E114" s="7" t="s">
        <v>510</v>
      </c>
      <c r="F114" s="7" t="s">
        <v>591</v>
      </c>
      <c r="G114" s="7" t="s">
        <v>592</v>
      </c>
      <c r="H114" s="7" t="s">
        <v>593</v>
      </c>
      <c r="I114" s="7" t="str">
        <f aca="false">B114&amp;"|"&amp;A114</f>
        <v>Brazil|ANX-170-7</v>
      </c>
    </row>
    <row r="115" customFormat="false" ht="15" hidden="false" customHeight="false" outlineLevel="0" collapsed="false">
      <c r="A115" s="7" t="s">
        <v>166</v>
      </c>
      <c r="B115" s="7" t="s">
        <v>280</v>
      </c>
      <c r="C115" s="7" t="s">
        <v>306</v>
      </c>
      <c r="D115" s="7" t="n">
        <v>4</v>
      </c>
      <c r="E115" s="7" t="s">
        <v>514</v>
      </c>
      <c r="F115" s="7" t="s">
        <v>594</v>
      </c>
      <c r="G115" s="7" t="s">
        <v>595</v>
      </c>
      <c r="H115" s="7" t="s">
        <v>596</v>
      </c>
      <c r="I115" s="7" t="str">
        <f aca="false">B115&amp;"|"&amp;A115</f>
        <v>Japan|ANX-170-7</v>
      </c>
    </row>
    <row r="116" customFormat="false" ht="15" hidden="false" customHeight="false" outlineLevel="0" collapsed="false">
      <c r="A116" s="7" t="s">
        <v>166</v>
      </c>
      <c r="B116" s="7" t="s">
        <v>285</v>
      </c>
      <c r="C116" s="7" t="s">
        <v>269</v>
      </c>
      <c r="D116" s="7" t="n">
        <v>3</v>
      </c>
      <c r="E116" s="7" t="s">
        <v>518</v>
      </c>
      <c r="F116" s="7" t="s">
        <v>597</v>
      </c>
      <c r="G116" s="7" t="s">
        <v>598</v>
      </c>
      <c r="H116" s="7" t="s">
        <v>599</v>
      </c>
      <c r="I116" s="7" t="str">
        <f aca="false">B116&amp;"|"&amp;A116</f>
        <v>Australia|ANX-170-7</v>
      </c>
    </row>
    <row r="117" customFormat="false" ht="15" hidden="false" customHeight="false" outlineLevel="0" collapsed="false">
      <c r="A117" s="7" t="s">
        <v>171</v>
      </c>
      <c r="B117" s="7" t="s">
        <v>3</v>
      </c>
      <c r="C117" s="7" t="s">
        <v>263</v>
      </c>
      <c r="D117" s="7" t="n">
        <v>3</v>
      </c>
      <c r="E117" s="7" t="s">
        <v>503</v>
      </c>
      <c r="F117" s="7" t="s">
        <v>600</v>
      </c>
      <c r="G117" s="7" t="s">
        <v>601</v>
      </c>
      <c r="H117" s="7" t="s">
        <v>267</v>
      </c>
      <c r="I117" s="7" t="str">
        <f aca="false">B117&amp;"|"&amp;A117</f>
        <v>USA|ANX-180-8</v>
      </c>
    </row>
    <row r="118" customFormat="false" ht="15" hidden="false" customHeight="false" outlineLevel="0" collapsed="false">
      <c r="A118" s="7" t="s">
        <v>171</v>
      </c>
      <c r="B118" s="7" t="s">
        <v>268</v>
      </c>
      <c r="C118" s="7" t="s">
        <v>275</v>
      </c>
      <c r="D118" s="7" t="n">
        <v>3</v>
      </c>
      <c r="E118" s="7" t="s">
        <v>506</v>
      </c>
      <c r="F118" s="7" t="s">
        <v>602</v>
      </c>
      <c r="G118" s="7" t="s">
        <v>603</v>
      </c>
      <c r="H118" s="7" t="s">
        <v>604</v>
      </c>
      <c r="I118" s="7" t="str">
        <f aca="false">B118&amp;"|"&amp;A118</f>
        <v>Germany|ANX-180-8</v>
      </c>
    </row>
    <row r="119" customFormat="false" ht="15" hidden="false" customHeight="false" outlineLevel="0" collapsed="false">
      <c r="A119" s="7" t="s">
        <v>171</v>
      </c>
      <c r="B119" s="7" t="s">
        <v>274</v>
      </c>
      <c r="C119" s="7" t="s">
        <v>306</v>
      </c>
      <c r="D119" s="7" t="n">
        <v>1</v>
      </c>
      <c r="E119" s="7" t="s">
        <v>510</v>
      </c>
      <c r="F119" s="7" t="s">
        <v>605</v>
      </c>
      <c r="G119" s="7" t="s">
        <v>606</v>
      </c>
      <c r="H119" s="7" t="s">
        <v>607</v>
      </c>
      <c r="I119" s="7" t="str">
        <f aca="false">B119&amp;"|"&amp;A119</f>
        <v>Brazil|ANX-180-8</v>
      </c>
    </row>
    <row r="120" customFormat="false" ht="15" hidden="false" customHeight="false" outlineLevel="0" collapsed="false">
      <c r="A120" s="7" t="s">
        <v>171</v>
      </c>
      <c r="B120" s="7" t="s">
        <v>280</v>
      </c>
      <c r="C120" s="7" t="s">
        <v>306</v>
      </c>
      <c r="D120" s="7" t="n">
        <v>2</v>
      </c>
      <c r="E120" s="7" t="s">
        <v>514</v>
      </c>
      <c r="F120" s="7" t="s">
        <v>608</v>
      </c>
      <c r="G120" s="7" t="s">
        <v>609</v>
      </c>
      <c r="H120" s="7" t="s">
        <v>610</v>
      </c>
      <c r="I120" s="7" t="str">
        <f aca="false">B120&amp;"|"&amp;A120</f>
        <v>Japan|ANX-180-8</v>
      </c>
    </row>
    <row r="121" customFormat="false" ht="15" hidden="false" customHeight="false" outlineLevel="0" collapsed="false">
      <c r="A121" s="7" t="s">
        <v>171</v>
      </c>
      <c r="B121" s="7" t="s">
        <v>285</v>
      </c>
      <c r="C121" s="7" t="s">
        <v>275</v>
      </c>
      <c r="D121" s="7" t="n">
        <v>5</v>
      </c>
      <c r="E121" s="7" t="s">
        <v>518</v>
      </c>
      <c r="F121" s="7" t="s">
        <v>611</v>
      </c>
      <c r="G121" s="7" t="s">
        <v>612</v>
      </c>
      <c r="H121" s="7" t="s">
        <v>613</v>
      </c>
      <c r="I121" s="7" t="str">
        <f aca="false">B121&amp;"|"&amp;A121</f>
        <v>Australia|ANX-180-8</v>
      </c>
    </row>
    <row r="122" customFormat="false" ht="15" hidden="false" customHeight="false" outlineLevel="0" collapsed="false">
      <c r="A122" s="7" t="s">
        <v>175</v>
      </c>
      <c r="B122" s="7" t="s">
        <v>3</v>
      </c>
      <c r="C122" s="7" t="s">
        <v>269</v>
      </c>
      <c r="D122" s="7" t="n">
        <v>1</v>
      </c>
      <c r="E122" s="7" t="s">
        <v>614</v>
      </c>
      <c r="F122" s="7" t="s">
        <v>615</v>
      </c>
      <c r="G122" s="7" t="s">
        <v>616</v>
      </c>
      <c r="H122" s="7" t="s">
        <v>267</v>
      </c>
      <c r="I122" s="7" t="str">
        <f aca="false">B122&amp;"|"&amp;A122</f>
        <v>USA|RAD-110-1</v>
      </c>
    </row>
    <row r="123" customFormat="false" ht="15" hidden="false" customHeight="false" outlineLevel="0" collapsed="false">
      <c r="A123" s="7" t="s">
        <v>175</v>
      </c>
      <c r="B123" s="7" t="s">
        <v>268</v>
      </c>
      <c r="C123" s="7" t="s">
        <v>263</v>
      </c>
      <c r="D123" s="7" t="n">
        <v>2</v>
      </c>
      <c r="E123" s="7" t="s">
        <v>617</v>
      </c>
      <c r="F123" s="7" t="s">
        <v>618</v>
      </c>
      <c r="G123" s="7" t="s">
        <v>619</v>
      </c>
      <c r="H123" s="7" t="s">
        <v>620</v>
      </c>
      <c r="I123" s="7" t="str">
        <f aca="false">B123&amp;"|"&amp;A123</f>
        <v>Germany|RAD-110-1</v>
      </c>
    </row>
    <row r="124" customFormat="false" ht="15" hidden="false" customHeight="false" outlineLevel="0" collapsed="false">
      <c r="A124" s="7" t="s">
        <v>175</v>
      </c>
      <c r="B124" s="7" t="s">
        <v>274</v>
      </c>
      <c r="C124" s="7" t="s">
        <v>306</v>
      </c>
      <c r="D124" s="7" t="n">
        <v>3</v>
      </c>
      <c r="E124" s="7" t="s">
        <v>621</v>
      </c>
      <c r="F124" s="7" t="s">
        <v>622</v>
      </c>
      <c r="G124" s="7" t="s">
        <v>623</v>
      </c>
      <c r="H124" s="7" t="s">
        <v>624</v>
      </c>
      <c r="I124" s="7" t="str">
        <f aca="false">B124&amp;"|"&amp;A124</f>
        <v>Brazil|RAD-110-1</v>
      </c>
    </row>
    <row r="125" customFormat="false" ht="15" hidden="false" customHeight="false" outlineLevel="0" collapsed="false">
      <c r="A125" s="7" t="s">
        <v>175</v>
      </c>
      <c r="B125" s="7" t="s">
        <v>280</v>
      </c>
      <c r="C125" s="7" t="s">
        <v>306</v>
      </c>
      <c r="D125" s="7" t="n">
        <v>3</v>
      </c>
      <c r="E125" s="7" t="s">
        <v>625</v>
      </c>
      <c r="F125" s="7" t="s">
        <v>626</v>
      </c>
      <c r="G125" s="7" t="s">
        <v>627</v>
      </c>
      <c r="H125" s="7" t="s">
        <v>628</v>
      </c>
      <c r="I125" s="7" t="str">
        <f aca="false">B125&amp;"|"&amp;A125</f>
        <v>Japan|RAD-110-1</v>
      </c>
    </row>
    <row r="126" customFormat="false" ht="15" hidden="false" customHeight="false" outlineLevel="0" collapsed="false">
      <c r="A126" s="7" t="s">
        <v>175</v>
      </c>
      <c r="B126" s="7" t="s">
        <v>285</v>
      </c>
      <c r="C126" s="7" t="s">
        <v>306</v>
      </c>
      <c r="D126" s="7" t="n">
        <v>4</v>
      </c>
      <c r="E126" s="7" t="s">
        <v>629</v>
      </c>
      <c r="F126" s="7" t="s">
        <v>630</v>
      </c>
      <c r="G126" s="7" t="s">
        <v>631</v>
      </c>
      <c r="H126" s="7" t="s">
        <v>632</v>
      </c>
      <c r="I126" s="7" t="str">
        <f aca="false">B126&amp;"|"&amp;A126</f>
        <v>Australia|RAD-110-1</v>
      </c>
    </row>
    <row r="127" customFormat="false" ht="15" hidden="false" customHeight="false" outlineLevel="0" collapsed="false">
      <c r="A127" s="7" t="s">
        <v>181</v>
      </c>
      <c r="B127" s="7" t="s">
        <v>3</v>
      </c>
      <c r="C127" s="7" t="s">
        <v>263</v>
      </c>
      <c r="D127" s="7" t="n">
        <v>7</v>
      </c>
      <c r="E127" s="7" t="s">
        <v>614</v>
      </c>
      <c r="F127" s="7" t="s">
        <v>633</v>
      </c>
      <c r="G127" s="7" t="s">
        <v>634</v>
      </c>
      <c r="H127" s="7" t="s">
        <v>267</v>
      </c>
      <c r="I127" s="7" t="str">
        <f aca="false">B127&amp;"|"&amp;A127</f>
        <v>USA|RAD-120-2</v>
      </c>
    </row>
    <row r="128" customFormat="false" ht="15" hidden="false" customHeight="false" outlineLevel="0" collapsed="false">
      <c r="A128" s="7" t="s">
        <v>181</v>
      </c>
      <c r="B128" s="7" t="s">
        <v>268</v>
      </c>
      <c r="C128" s="7" t="s">
        <v>275</v>
      </c>
      <c r="D128" s="7" t="n">
        <v>6</v>
      </c>
      <c r="E128" s="7" t="s">
        <v>617</v>
      </c>
      <c r="F128" s="7" t="s">
        <v>635</v>
      </c>
      <c r="G128" s="7" t="s">
        <v>636</v>
      </c>
      <c r="H128" s="7" t="s">
        <v>637</v>
      </c>
      <c r="I128" s="7" t="str">
        <f aca="false">B128&amp;"|"&amp;A128</f>
        <v>Germany|RAD-120-2</v>
      </c>
    </row>
    <row r="129" customFormat="false" ht="15" hidden="false" customHeight="false" outlineLevel="0" collapsed="false">
      <c r="A129" s="7" t="s">
        <v>181</v>
      </c>
      <c r="B129" s="7" t="s">
        <v>274</v>
      </c>
      <c r="C129" s="7" t="s">
        <v>269</v>
      </c>
      <c r="D129" s="7" t="n">
        <v>5</v>
      </c>
      <c r="E129" s="7" t="s">
        <v>621</v>
      </c>
      <c r="F129" s="7" t="s">
        <v>638</v>
      </c>
      <c r="G129" s="7" t="s">
        <v>639</v>
      </c>
      <c r="H129" s="7" t="s">
        <v>640</v>
      </c>
      <c r="I129" s="7" t="str">
        <f aca="false">B129&amp;"|"&amp;A129</f>
        <v>Brazil|RAD-120-2</v>
      </c>
    </row>
    <row r="130" customFormat="false" ht="15" hidden="false" customHeight="false" outlineLevel="0" collapsed="false">
      <c r="A130" s="7" t="s">
        <v>181</v>
      </c>
      <c r="B130" s="7" t="s">
        <v>280</v>
      </c>
      <c r="C130" s="7" t="s">
        <v>275</v>
      </c>
      <c r="D130" s="7" t="n">
        <v>2</v>
      </c>
      <c r="E130" s="7" t="s">
        <v>625</v>
      </c>
      <c r="F130" s="7" t="s">
        <v>641</v>
      </c>
      <c r="G130" s="7" t="s">
        <v>642</v>
      </c>
      <c r="H130" s="7" t="s">
        <v>643</v>
      </c>
      <c r="I130" s="7" t="str">
        <f aca="false">B130&amp;"|"&amp;A130</f>
        <v>Japan|RAD-120-2</v>
      </c>
    </row>
    <row r="131" customFormat="false" ht="15" hidden="false" customHeight="false" outlineLevel="0" collapsed="false">
      <c r="A131" s="7" t="s">
        <v>181</v>
      </c>
      <c r="B131" s="7" t="s">
        <v>285</v>
      </c>
      <c r="C131" s="7" t="s">
        <v>263</v>
      </c>
      <c r="D131" s="7" t="n">
        <v>2</v>
      </c>
      <c r="E131" s="7" t="s">
        <v>629</v>
      </c>
      <c r="F131" s="7" t="s">
        <v>644</v>
      </c>
      <c r="G131" s="7" t="s">
        <v>645</v>
      </c>
      <c r="H131" s="7" t="s">
        <v>646</v>
      </c>
      <c r="I131" s="7" t="str">
        <f aca="false">B131&amp;"|"&amp;A131</f>
        <v>Australia|RAD-120-2</v>
      </c>
    </row>
    <row r="132" customFormat="false" ht="15" hidden="false" customHeight="false" outlineLevel="0" collapsed="false">
      <c r="A132" s="7" t="s">
        <v>186</v>
      </c>
      <c r="B132" s="7" t="s">
        <v>3</v>
      </c>
      <c r="C132" s="7" t="s">
        <v>306</v>
      </c>
      <c r="D132" s="7" t="n">
        <v>8</v>
      </c>
      <c r="E132" s="7" t="s">
        <v>614</v>
      </c>
      <c r="F132" s="7" t="s">
        <v>647</v>
      </c>
      <c r="G132" s="7" t="s">
        <v>648</v>
      </c>
      <c r="H132" s="7" t="s">
        <v>267</v>
      </c>
      <c r="I132" s="7" t="str">
        <f aca="false">B132&amp;"|"&amp;A132</f>
        <v>USA|RAD-130-3</v>
      </c>
    </row>
    <row r="133" customFormat="false" ht="15" hidden="false" customHeight="false" outlineLevel="0" collapsed="false">
      <c r="A133" s="7" t="s">
        <v>186</v>
      </c>
      <c r="B133" s="7" t="s">
        <v>268</v>
      </c>
      <c r="C133" s="7" t="s">
        <v>269</v>
      </c>
      <c r="D133" s="7" t="n">
        <v>4</v>
      </c>
      <c r="E133" s="7" t="s">
        <v>617</v>
      </c>
      <c r="F133" s="7" t="s">
        <v>649</v>
      </c>
      <c r="G133" s="7" t="s">
        <v>650</v>
      </c>
      <c r="H133" s="7" t="s">
        <v>651</v>
      </c>
      <c r="I133" s="7" t="str">
        <f aca="false">B133&amp;"|"&amp;A133</f>
        <v>Germany|RAD-130-3</v>
      </c>
    </row>
    <row r="134" customFormat="false" ht="15" hidden="false" customHeight="false" outlineLevel="0" collapsed="false">
      <c r="A134" s="7" t="s">
        <v>186</v>
      </c>
      <c r="B134" s="7" t="s">
        <v>274</v>
      </c>
      <c r="C134" s="7" t="s">
        <v>275</v>
      </c>
      <c r="D134" s="7" t="n">
        <v>7</v>
      </c>
      <c r="E134" s="7" t="s">
        <v>621</v>
      </c>
      <c r="F134" s="7" t="s">
        <v>652</v>
      </c>
      <c r="G134" s="7" t="s">
        <v>653</v>
      </c>
      <c r="H134" s="7" t="s">
        <v>654</v>
      </c>
      <c r="I134" s="7" t="str">
        <f aca="false">B134&amp;"|"&amp;A134</f>
        <v>Brazil|RAD-130-3</v>
      </c>
    </row>
    <row r="135" customFormat="false" ht="15" hidden="false" customHeight="false" outlineLevel="0" collapsed="false">
      <c r="A135" s="7" t="s">
        <v>186</v>
      </c>
      <c r="B135" s="7" t="s">
        <v>280</v>
      </c>
      <c r="C135" s="7" t="s">
        <v>306</v>
      </c>
      <c r="D135" s="7" t="n">
        <v>3</v>
      </c>
      <c r="E135" s="7" t="s">
        <v>625</v>
      </c>
      <c r="F135" s="7" t="s">
        <v>655</v>
      </c>
      <c r="G135" s="7" t="s">
        <v>656</v>
      </c>
      <c r="H135" s="7" t="s">
        <v>657</v>
      </c>
      <c r="I135" s="7" t="str">
        <f aca="false">B135&amp;"|"&amp;A135</f>
        <v>Japan|RAD-130-3</v>
      </c>
    </row>
    <row r="136" customFormat="false" ht="15" hidden="false" customHeight="false" outlineLevel="0" collapsed="false">
      <c r="A136" s="7" t="s">
        <v>186</v>
      </c>
      <c r="B136" s="7" t="s">
        <v>285</v>
      </c>
      <c r="C136" s="7" t="s">
        <v>275</v>
      </c>
      <c r="D136" s="7" t="n">
        <v>2</v>
      </c>
      <c r="E136" s="7" t="s">
        <v>629</v>
      </c>
      <c r="F136" s="7" t="s">
        <v>658</v>
      </c>
      <c r="G136" s="7" t="s">
        <v>659</v>
      </c>
      <c r="H136" s="7" t="s">
        <v>660</v>
      </c>
      <c r="I136" s="7" t="str">
        <f aca="false">B136&amp;"|"&amp;A136</f>
        <v>Australia|RAD-130-3</v>
      </c>
    </row>
    <row r="137" customFormat="false" ht="15" hidden="false" customHeight="false" outlineLevel="0" collapsed="false">
      <c r="A137" s="7" t="s">
        <v>191</v>
      </c>
      <c r="B137" s="7" t="s">
        <v>3</v>
      </c>
      <c r="C137" s="7" t="s">
        <v>306</v>
      </c>
      <c r="D137" s="7" t="n">
        <v>2</v>
      </c>
      <c r="E137" s="7" t="s">
        <v>614</v>
      </c>
      <c r="F137" s="7" t="s">
        <v>661</v>
      </c>
      <c r="G137" s="7" t="s">
        <v>662</v>
      </c>
      <c r="H137" s="7" t="s">
        <v>267</v>
      </c>
      <c r="I137" s="7" t="str">
        <f aca="false">B137&amp;"|"&amp;A137</f>
        <v>USA|RAD-140-4</v>
      </c>
    </row>
    <row r="138" customFormat="false" ht="15" hidden="false" customHeight="false" outlineLevel="0" collapsed="false">
      <c r="A138" s="7" t="s">
        <v>191</v>
      </c>
      <c r="B138" s="7" t="s">
        <v>268</v>
      </c>
      <c r="C138" s="7" t="s">
        <v>306</v>
      </c>
      <c r="D138" s="7" t="n">
        <v>5</v>
      </c>
      <c r="E138" s="7" t="s">
        <v>617</v>
      </c>
      <c r="F138" s="7" t="s">
        <v>663</v>
      </c>
      <c r="G138" s="7" t="s">
        <v>664</v>
      </c>
      <c r="H138" s="7" t="s">
        <v>665</v>
      </c>
      <c r="I138" s="7" t="str">
        <f aca="false">B138&amp;"|"&amp;A138</f>
        <v>Germany|RAD-140-4</v>
      </c>
    </row>
    <row r="139" customFormat="false" ht="15" hidden="false" customHeight="false" outlineLevel="0" collapsed="false">
      <c r="A139" s="7" t="s">
        <v>191</v>
      </c>
      <c r="B139" s="7" t="s">
        <v>274</v>
      </c>
      <c r="C139" s="7" t="s">
        <v>275</v>
      </c>
      <c r="D139" s="7" t="n">
        <v>4</v>
      </c>
      <c r="E139" s="7" t="s">
        <v>621</v>
      </c>
      <c r="F139" s="7" t="s">
        <v>666</v>
      </c>
      <c r="G139" s="7" t="s">
        <v>667</v>
      </c>
      <c r="H139" s="7" t="s">
        <v>581</v>
      </c>
      <c r="I139" s="7" t="str">
        <f aca="false">B139&amp;"|"&amp;A139</f>
        <v>Brazil|RAD-140-4</v>
      </c>
    </row>
    <row r="140" customFormat="false" ht="15" hidden="false" customHeight="false" outlineLevel="0" collapsed="false">
      <c r="A140" s="7" t="s">
        <v>191</v>
      </c>
      <c r="B140" s="7" t="s">
        <v>280</v>
      </c>
      <c r="C140" s="7" t="s">
        <v>306</v>
      </c>
      <c r="D140" s="7" t="n">
        <v>4</v>
      </c>
      <c r="E140" s="7" t="s">
        <v>625</v>
      </c>
      <c r="F140" s="7" t="s">
        <v>668</v>
      </c>
      <c r="G140" s="7" t="s">
        <v>669</v>
      </c>
      <c r="H140" s="7" t="s">
        <v>670</v>
      </c>
      <c r="I140" s="7" t="str">
        <f aca="false">B140&amp;"|"&amp;A140</f>
        <v>Japan|RAD-140-4</v>
      </c>
    </row>
    <row r="141" customFormat="false" ht="15" hidden="false" customHeight="false" outlineLevel="0" collapsed="false">
      <c r="A141" s="7" t="s">
        <v>191</v>
      </c>
      <c r="B141" s="7" t="s">
        <v>285</v>
      </c>
      <c r="C141" s="7" t="s">
        <v>306</v>
      </c>
      <c r="D141" s="7" t="n">
        <v>1</v>
      </c>
      <c r="E141" s="7" t="s">
        <v>629</v>
      </c>
      <c r="F141" s="7" t="s">
        <v>671</v>
      </c>
      <c r="G141" s="7" t="s">
        <v>672</v>
      </c>
      <c r="H141" s="7" t="s">
        <v>563</v>
      </c>
      <c r="I141" s="7" t="str">
        <f aca="false">B141&amp;"|"&amp;A141</f>
        <v>Australia|RAD-140-4</v>
      </c>
    </row>
    <row r="142" customFormat="false" ht="15" hidden="false" customHeight="false" outlineLevel="0" collapsed="false">
      <c r="A142" s="7" t="s">
        <v>196</v>
      </c>
      <c r="B142" s="7" t="s">
        <v>3</v>
      </c>
      <c r="C142" s="7" t="s">
        <v>269</v>
      </c>
      <c r="D142" s="7" t="n">
        <v>3</v>
      </c>
      <c r="E142" s="7" t="s">
        <v>614</v>
      </c>
      <c r="F142" s="7" t="s">
        <v>673</v>
      </c>
      <c r="G142" s="7" t="s">
        <v>674</v>
      </c>
      <c r="H142" s="7" t="s">
        <v>267</v>
      </c>
      <c r="I142" s="7" t="str">
        <f aca="false">B142&amp;"|"&amp;A142</f>
        <v>USA|RAD-150-5</v>
      </c>
    </row>
    <row r="143" customFormat="false" ht="15" hidden="false" customHeight="false" outlineLevel="0" collapsed="false">
      <c r="A143" s="7" t="s">
        <v>196</v>
      </c>
      <c r="B143" s="7" t="s">
        <v>268</v>
      </c>
      <c r="C143" s="7" t="s">
        <v>263</v>
      </c>
      <c r="D143" s="7" t="n">
        <v>1</v>
      </c>
      <c r="E143" s="7" t="s">
        <v>617</v>
      </c>
      <c r="F143" s="7" t="s">
        <v>675</v>
      </c>
      <c r="G143" s="7" t="s">
        <v>676</v>
      </c>
      <c r="H143" s="7" t="s">
        <v>677</v>
      </c>
      <c r="I143" s="7" t="str">
        <f aca="false">B143&amp;"|"&amp;A143</f>
        <v>Germany|RAD-150-5</v>
      </c>
    </row>
    <row r="144" customFormat="false" ht="15" hidden="false" customHeight="false" outlineLevel="0" collapsed="false">
      <c r="A144" s="7" t="s">
        <v>196</v>
      </c>
      <c r="B144" s="7" t="s">
        <v>274</v>
      </c>
      <c r="C144" s="7" t="s">
        <v>275</v>
      </c>
      <c r="D144" s="7" t="n">
        <v>6</v>
      </c>
      <c r="E144" s="7" t="s">
        <v>621</v>
      </c>
      <c r="F144" s="7" t="s">
        <v>678</v>
      </c>
      <c r="G144" s="7" t="s">
        <v>679</v>
      </c>
      <c r="H144" s="7" t="s">
        <v>680</v>
      </c>
      <c r="I144" s="7" t="str">
        <f aca="false">B144&amp;"|"&amp;A144</f>
        <v>Brazil|RAD-150-5</v>
      </c>
    </row>
    <row r="145" customFormat="false" ht="15" hidden="false" customHeight="false" outlineLevel="0" collapsed="false">
      <c r="A145" s="7" t="s">
        <v>196</v>
      </c>
      <c r="B145" s="7" t="s">
        <v>280</v>
      </c>
      <c r="C145" s="7" t="s">
        <v>269</v>
      </c>
      <c r="D145" s="7" t="n">
        <v>1</v>
      </c>
      <c r="E145" s="7" t="s">
        <v>625</v>
      </c>
      <c r="F145" s="7" t="s">
        <v>681</v>
      </c>
      <c r="G145" s="7" t="s">
        <v>682</v>
      </c>
      <c r="H145" s="7" t="s">
        <v>683</v>
      </c>
      <c r="I145" s="7" t="str">
        <f aca="false">B145&amp;"|"&amp;A145</f>
        <v>Japan|RAD-150-5</v>
      </c>
    </row>
    <row r="146" customFormat="false" ht="15" hidden="false" customHeight="false" outlineLevel="0" collapsed="false">
      <c r="A146" s="7" t="s">
        <v>196</v>
      </c>
      <c r="B146" s="7" t="s">
        <v>285</v>
      </c>
      <c r="C146" s="7" t="s">
        <v>306</v>
      </c>
      <c r="D146" s="7" t="n">
        <v>8</v>
      </c>
      <c r="E146" s="7" t="s">
        <v>629</v>
      </c>
      <c r="F146" s="7" t="s">
        <v>684</v>
      </c>
      <c r="G146" s="7" t="s">
        <v>685</v>
      </c>
      <c r="H146" s="7" t="s">
        <v>686</v>
      </c>
      <c r="I146" s="7" t="str">
        <f aca="false">B146&amp;"|"&amp;A146</f>
        <v>Australia|RAD-150-5</v>
      </c>
    </row>
    <row r="147" customFormat="false" ht="15" hidden="false" customHeight="false" outlineLevel="0" collapsed="false">
      <c r="A147" s="7" t="s">
        <v>201</v>
      </c>
      <c r="B147" s="7" t="s">
        <v>3</v>
      </c>
      <c r="C147" s="7" t="s">
        <v>306</v>
      </c>
      <c r="D147" s="7" t="n">
        <v>4</v>
      </c>
      <c r="E147" s="7" t="s">
        <v>614</v>
      </c>
      <c r="F147" s="7" t="s">
        <v>687</v>
      </c>
      <c r="G147" s="7" t="s">
        <v>688</v>
      </c>
      <c r="H147" s="7" t="s">
        <v>267</v>
      </c>
      <c r="I147" s="7" t="str">
        <f aca="false">B147&amp;"|"&amp;A147</f>
        <v>USA|RAD-160-6</v>
      </c>
    </row>
    <row r="148" customFormat="false" ht="15" hidden="false" customHeight="false" outlineLevel="0" collapsed="false">
      <c r="A148" s="7" t="s">
        <v>201</v>
      </c>
      <c r="B148" s="7" t="s">
        <v>268</v>
      </c>
      <c r="C148" s="7" t="s">
        <v>275</v>
      </c>
      <c r="D148" s="7" t="n">
        <v>2</v>
      </c>
      <c r="E148" s="7" t="s">
        <v>617</v>
      </c>
      <c r="F148" s="7" t="s">
        <v>689</v>
      </c>
      <c r="G148" s="7" t="s">
        <v>690</v>
      </c>
      <c r="H148" s="7" t="s">
        <v>691</v>
      </c>
      <c r="I148" s="7" t="str">
        <f aca="false">B148&amp;"|"&amp;A148</f>
        <v>Germany|RAD-160-6</v>
      </c>
    </row>
    <row r="149" customFormat="false" ht="15" hidden="false" customHeight="false" outlineLevel="0" collapsed="false">
      <c r="A149" s="7" t="s">
        <v>201</v>
      </c>
      <c r="B149" s="7" t="s">
        <v>274</v>
      </c>
      <c r="C149" s="7" t="s">
        <v>306</v>
      </c>
      <c r="D149" s="7" t="n">
        <v>1</v>
      </c>
      <c r="E149" s="7" t="s">
        <v>621</v>
      </c>
      <c r="F149" s="7" t="s">
        <v>692</v>
      </c>
      <c r="G149" s="7" t="s">
        <v>693</v>
      </c>
      <c r="H149" s="7" t="s">
        <v>694</v>
      </c>
      <c r="I149" s="7" t="str">
        <f aca="false">B149&amp;"|"&amp;A149</f>
        <v>Brazil|RAD-160-6</v>
      </c>
    </row>
    <row r="150" customFormat="false" ht="15" hidden="false" customHeight="false" outlineLevel="0" collapsed="false">
      <c r="A150" s="7" t="s">
        <v>201</v>
      </c>
      <c r="B150" s="7" t="s">
        <v>280</v>
      </c>
      <c r="C150" s="7" t="s">
        <v>306</v>
      </c>
      <c r="D150" s="7" t="n">
        <v>4</v>
      </c>
      <c r="E150" s="7" t="s">
        <v>625</v>
      </c>
      <c r="F150" s="7" t="s">
        <v>695</v>
      </c>
      <c r="G150" s="7" t="s">
        <v>696</v>
      </c>
      <c r="H150" s="7" t="s">
        <v>697</v>
      </c>
      <c r="I150" s="7" t="str">
        <f aca="false">B150&amp;"|"&amp;A150</f>
        <v>Japan|RAD-160-6</v>
      </c>
    </row>
    <row r="151" customFormat="false" ht="15" hidden="false" customHeight="false" outlineLevel="0" collapsed="false">
      <c r="A151" s="7" t="s">
        <v>201</v>
      </c>
      <c r="B151" s="7" t="s">
        <v>285</v>
      </c>
      <c r="C151" s="7" t="s">
        <v>269</v>
      </c>
      <c r="D151" s="7" t="n">
        <v>1</v>
      </c>
      <c r="E151" s="7" t="s">
        <v>629</v>
      </c>
      <c r="F151" s="7" t="s">
        <v>698</v>
      </c>
      <c r="G151" s="7" t="s">
        <v>699</v>
      </c>
      <c r="H151" s="7" t="s">
        <v>700</v>
      </c>
      <c r="I151" s="7" t="str">
        <f aca="false">B151&amp;"|"&amp;A151</f>
        <v>Australia|RAD-160-6</v>
      </c>
    </row>
    <row r="152" customFormat="false" ht="15" hidden="false" customHeight="false" outlineLevel="0" collapsed="false">
      <c r="A152" s="7" t="s">
        <v>206</v>
      </c>
      <c r="B152" s="7" t="s">
        <v>3</v>
      </c>
      <c r="C152" s="7" t="s">
        <v>263</v>
      </c>
      <c r="D152" s="7" t="n">
        <v>6</v>
      </c>
      <c r="E152" s="7" t="s">
        <v>614</v>
      </c>
      <c r="F152" s="7" t="s">
        <v>701</v>
      </c>
      <c r="G152" s="7" t="s">
        <v>702</v>
      </c>
      <c r="H152" s="7" t="s">
        <v>267</v>
      </c>
      <c r="I152" s="7" t="str">
        <f aca="false">B152&amp;"|"&amp;A152</f>
        <v>USA|RAD-170-7</v>
      </c>
    </row>
    <row r="153" customFormat="false" ht="15" hidden="false" customHeight="false" outlineLevel="0" collapsed="false">
      <c r="A153" s="7" t="s">
        <v>206</v>
      </c>
      <c r="B153" s="7" t="s">
        <v>268</v>
      </c>
      <c r="C153" s="7" t="s">
        <v>269</v>
      </c>
      <c r="D153" s="7" t="n">
        <v>8</v>
      </c>
      <c r="E153" s="7" t="s">
        <v>617</v>
      </c>
      <c r="F153" s="7" t="s">
        <v>703</v>
      </c>
      <c r="G153" s="7" t="s">
        <v>493</v>
      </c>
      <c r="H153" s="7" t="s">
        <v>704</v>
      </c>
      <c r="I153" s="7" t="str">
        <f aca="false">B153&amp;"|"&amp;A153</f>
        <v>Germany|RAD-170-7</v>
      </c>
    </row>
    <row r="154" customFormat="false" ht="15" hidden="false" customHeight="false" outlineLevel="0" collapsed="false">
      <c r="A154" s="7" t="s">
        <v>206</v>
      </c>
      <c r="B154" s="7" t="s">
        <v>274</v>
      </c>
      <c r="C154" s="7" t="s">
        <v>275</v>
      </c>
      <c r="D154" s="7" t="n">
        <v>5</v>
      </c>
      <c r="E154" s="7" t="s">
        <v>621</v>
      </c>
      <c r="F154" s="7" t="s">
        <v>705</v>
      </c>
      <c r="G154" s="7" t="s">
        <v>706</v>
      </c>
      <c r="H154" s="7" t="s">
        <v>707</v>
      </c>
      <c r="I154" s="7" t="str">
        <f aca="false">B154&amp;"|"&amp;A154</f>
        <v>Brazil|RAD-170-7</v>
      </c>
    </row>
    <row r="155" customFormat="false" ht="15" hidden="false" customHeight="false" outlineLevel="0" collapsed="false">
      <c r="A155" s="7" t="s">
        <v>206</v>
      </c>
      <c r="B155" s="7" t="s">
        <v>280</v>
      </c>
      <c r="C155" s="7" t="s">
        <v>275</v>
      </c>
      <c r="D155" s="7" t="n">
        <v>6</v>
      </c>
      <c r="E155" s="7" t="s">
        <v>625</v>
      </c>
      <c r="F155" s="7" t="s">
        <v>708</v>
      </c>
      <c r="G155" s="7" t="s">
        <v>709</v>
      </c>
      <c r="H155" s="7" t="s">
        <v>710</v>
      </c>
      <c r="I155" s="7" t="str">
        <f aca="false">B155&amp;"|"&amp;A155</f>
        <v>Japan|RAD-170-7</v>
      </c>
    </row>
    <row r="156" customFormat="false" ht="15" hidden="false" customHeight="false" outlineLevel="0" collapsed="false">
      <c r="A156" s="7" t="s">
        <v>206</v>
      </c>
      <c r="B156" s="7" t="s">
        <v>285</v>
      </c>
      <c r="C156" s="7" t="s">
        <v>275</v>
      </c>
      <c r="D156" s="7" t="n">
        <v>2</v>
      </c>
      <c r="E156" s="7" t="s">
        <v>629</v>
      </c>
      <c r="F156" s="7" t="s">
        <v>711</v>
      </c>
      <c r="G156" s="7" t="s">
        <v>712</v>
      </c>
      <c r="H156" s="7" t="s">
        <v>713</v>
      </c>
      <c r="I156" s="7" t="str">
        <f aca="false">B156&amp;"|"&amp;A156</f>
        <v>Australia|RAD-170-7</v>
      </c>
    </row>
    <row r="157" customFormat="false" ht="15" hidden="false" customHeight="false" outlineLevel="0" collapsed="false">
      <c r="A157" s="7" t="s">
        <v>211</v>
      </c>
      <c r="B157" s="7" t="s">
        <v>3</v>
      </c>
      <c r="C157" s="7" t="s">
        <v>263</v>
      </c>
      <c r="D157" s="7" t="n">
        <v>2</v>
      </c>
      <c r="E157" s="7" t="s">
        <v>614</v>
      </c>
      <c r="F157" s="7" t="s">
        <v>714</v>
      </c>
      <c r="G157" s="7" t="s">
        <v>715</v>
      </c>
      <c r="H157" s="7" t="s">
        <v>267</v>
      </c>
      <c r="I157" s="7" t="str">
        <f aca="false">B157&amp;"|"&amp;A157</f>
        <v>USA|RAD-180-8</v>
      </c>
    </row>
    <row r="158" customFormat="false" ht="15" hidden="false" customHeight="false" outlineLevel="0" collapsed="false">
      <c r="A158" s="7" t="s">
        <v>211</v>
      </c>
      <c r="B158" s="7" t="s">
        <v>268</v>
      </c>
      <c r="C158" s="7" t="s">
        <v>263</v>
      </c>
      <c r="D158" s="7" t="n">
        <v>6</v>
      </c>
      <c r="E158" s="7" t="s">
        <v>617</v>
      </c>
      <c r="F158" s="7" t="s">
        <v>716</v>
      </c>
      <c r="G158" s="7" t="s">
        <v>717</v>
      </c>
      <c r="H158" s="7" t="s">
        <v>718</v>
      </c>
      <c r="I158" s="7" t="str">
        <f aca="false">B158&amp;"|"&amp;A158</f>
        <v>Germany|RAD-180-8</v>
      </c>
    </row>
    <row r="159" customFormat="false" ht="15" hidden="false" customHeight="false" outlineLevel="0" collapsed="false">
      <c r="A159" s="7" t="s">
        <v>211</v>
      </c>
      <c r="B159" s="7" t="s">
        <v>274</v>
      </c>
      <c r="C159" s="7" t="s">
        <v>269</v>
      </c>
      <c r="D159" s="7" t="n">
        <v>3</v>
      </c>
      <c r="E159" s="7" t="s">
        <v>621</v>
      </c>
      <c r="F159" s="7" t="s">
        <v>719</v>
      </c>
      <c r="G159" s="7" t="s">
        <v>720</v>
      </c>
      <c r="H159" s="7" t="s">
        <v>485</v>
      </c>
      <c r="I159" s="7" t="str">
        <f aca="false">B159&amp;"|"&amp;A159</f>
        <v>Brazil|RAD-180-8</v>
      </c>
    </row>
    <row r="160" customFormat="false" ht="15" hidden="false" customHeight="false" outlineLevel="0" collapsed="false">
      <c r="A160" s="7" t="s">
        <v>211</v>
      </c>
      <c r="B160" s="7" t="s">
        <v>280</v>
      </c>
      <c r="C160" s="7" t="s">
        <v>263</v>
      </c>
      <c r="D160" s="7" t="n">
        <v>8</v>
      </c>
      <c r="E160" s="7" t="s">
        <v>625</v>
      </c>
      <c r="F160" s="7" t="s">
        <v>721</v>
      </c>
      <c r="G160" s="7" t="s">
        <v>722</v>
      </c>
      <c r="H160" s="7" t="s">
        <v>723</v>
      </c>
      <c r="I160" s="7" t="str">
        <f aca="false">B160&amp;"|"&amp;A160</f>
        <v>Japan|RAD-180-8</v>
      </c>
    </row>
    <row r="161" customFormat="false" ht="15" hidden="false" customHeight="false" outlineLevel="0" collapsed="false">
      <c r="A161" s="7" t="s">
        <v>211</v>
      </c>
      <c r="B161" s="7" t="s">
        <v>285</v>
      </c>
      <c r="C161" s="7" t="s">
        <v>306</v>
      </c>
      <c r="D161" s="7" t="n">
        <v>6</v>
      </c>
      <c r="E161" s="7" t="s">
        <v>629</v>
      </c>
      <c r="F161" s="7" t="s">
        <v>724</v>
      </c>
      <c r="G161" s="7" t="s">
        <v>725</v>
      </c>
      <c r="H161" s="7" t="s">
        <v>726</v>
      </c>
      <c r="I161" s="7" t="str">
        <f aca="false">B161&amp;"|"&amp;A161</f>
        <v>Australia|RAD-180-8</v>
      </c>
    </row>
    <row r="162" customFormat="false" ht="15" hidden="false" customHeight="false" outlineLevel="0" collapsed="false">
      <c r="A162" s="7" t="s">
        <v>216</v>
      </c>
      <c r="B162" s="7" t="s">
        <v>3</v>
      </c>
      <c r="C162" s="7" t="s">
        <v>306</v>
      </c>
      <c r="D162" s="7" t="n">
        <v>1</v>
      </c>
      <c r="E162" s="7" t="s">
        <v>727</v>
      </c>
      <c r="F162" s="7" t="s">
        <v>728</v>
      </c>
      <c r="G162" s="7" t="s">
        <v>729</v>
      </c>
      <c r="H162" s="7" t="s">
        <v>267</v>
      </c>
      <c r="I162" s="7" t="str">
        <f aca="false">B162&amp;"|"&amp;A162</f>
        <v>USA|CVD-110-1</v>
      </c>
    </row>
    <row r="163" customFormat="false" ht="15" hidden="false" customHeight="false" outlineLevel="0" collapsed="false">
      <c r="A163" s="7" t="s">
        <v>216</v>
      </c>
      <c r="B163" s="7" t="s">
        <v>268</v>
      </c>
      <c r="C163" s="7" t="s">
        <v>275</v>
      </c>
      <c r="D163" s="7" t="n">
        <v>8</v>
      </c>
      <c r="E163" s="7" t="s">
        <v>730</v>
      </c>
      <c r="F163" s="7" t="s">
        <v>731</v>
      </c>
      <c r="G163" s="7" t="s">
        <v>732</v>
      </c>
      <c r="H163" s="7" t="s">
        <v>733</v>
      </c>
      <c r="I163" s="7" t="str">
        <f aca="false">B163&amp;"|"&amp;A163</f>
        <v>Germany|CVD-110-1</v>
      </c>
    </row>
    <row r="164" customFormat="false" ht="15" hidden="false" customHeight="false" outlineLevel="0" collapsed="false">
      <c r="A164" s="7" t="s">
        <v>216</v>
      </c>
      <c r="B164" s="7" t="s">
        <v>274</v>
      </c>
      <c r="C164" s="7" t="s">
        <v>275</v>
      </c>
      <c r="D164" s="7" t="n">
        <v>8</v>
      </c>
      <c r="E164" s="7" t="s">
        <v>734</v>
      </c>
      <c r="F164" s="7" t="s">
        <v>735</v>
      </c>
      <c r="G164" s="7" t="s">
        <v>736</v>
      </c>
      <c r="H164" s="7" t="s">
        <v>737</v>
      </c>
      <c r="I164" s="7" t="str">
        <f aca="false">B164&amp;"|"&amp;A164</f>
        <v>Brazil|CVD-110-1</v>
      </c>
    </row>
    <row r="165" customFormat="false" ht="15" hidden="false" customHeight="false" outlineLevel="0" collapsed="false">
      <c r="A165" s="7" t="s">
        <v>216</v>
      </c>
      <c r="B165" s="7" t="s">
        <v>280</v>
      </c>
      <c r="C165" s="7" t="s">
        <v>263</v>
      </c>
      <c r="D165" s="7" t="n">
        <v>6</v>
      </c>
      <c r="E165" s="7" t="s">
        <v>738</v>
      </c>
      <c r="F165" s="7" t="s">
        <v>739</v>
      </c>
      <c r="G165" s="7" t="s">
        <v>740</v>
      </c>
      <c r="H165" s="7" t="s">
        <v>741</v>
      </c>
      <c r="I165" s="7" t="str">
        <f aca="false">B165&amp;"|"&amp;A165</f>
        <v>Japan|CVD-110-1</v>
      </c>
    </row>
    <row r="166" customFormat="false" ht="15" hidden="false" customHeight="false" outlineLevel="0" collapsed="false">
      <c r="A166" s="7" t="s">
        <v>216</v>
      </c>
      <c r="B166" s="7" t="s">
        <v>285</v>
      </c>
      <c r="C166" s="7" t="s">
        <v>269</v>
      </c>
      <c r="D166" s="7" t="n">
        <v>6</v>
      </c>
      <c r="E166" s="7" t="s">
        <v>742</v>
      </c>
      <c r="F166" s="7" t="s">
        <v>743</v>
      </c>
      <c r="G166" s="7" t="s">
        <v>744</v>
      </c>
      <c r="H166" s="7" t="s">
        <v>745</v>
      </c>
      <c r="I166" s="7" t="str">
        <f aca="false">B166&amp;"|"&amp;A166</f>
        <v>Australia|CVD-110-1</v>
      </c>
    </row>
    <row r="167" customFormat="false" ht="15" hidden="false" customHeight="false" outlineLevel="0" collapsed="false">
      <c r="A167" s="7" t="s">
        <v>222</v>
      </c>
      <c r="B167" s="7" t="s">
        <v>3</v>
      </c>
      <c r="C167" s="7" t="s">
        <v>263</v>
      </c>
      <c r="D167" s="7" t="n">
        <v>8</v>
      </c>
      <c r="E167" s="7" t="s">
        <v>727</v>
      </c>
      <c r="F167" s="7" t="s">
        <v>746</v>
      </c>
      <c r="G167" s="7" t="s">
        <v>747</v>
      </c>
      <c r="H167" s="7" t="s">
        <v>267</v>
      </c>
      <c r="I167" s="7" t="str">
        <f aca="false">B167&amp;"|"&amp;A167</f>
        <v>USA|CVD-120-2</v>
      </c>
    </row>
    <row r="168" customFormat="false" ht="15" hidden="false" customHeight="false" outlineLevel="0" collapsed="false">
      <c r="A168" s="7" t="s">
        <v>222</v>
      </c>
      <c r="B168" s="7" t="s">
        <v>268</v>
      </c>
      <c r="C168" s="7" t="s">
        <v>263</v>
      </c>
      <c r="D168" s="7" t="n">
        <v>6</v>
      </c>
      <c r="E168" s="7" t="s">
        <v>730</v>
      </c>
      <c r="F168" s="7" t="s">
        <v>748</v>
      </c>
      <c r="G168" s="7" t="s">
        <v>733</v>
      </c>
      <c r="H168" s="7" t="s">
        <v>749</v>
      </c>
      <c r="I168" s="7" t="str">
        <f aca="false">B168&amp;"|"&amp;A168</f>
        <v>Germany|CVD-120-2</v>
      </c>
    </row>
    <row r="169" customFormat="false" ht="15" hidden="false" customHeight="false" outlineLevel="0" collapsed="false">
      <c r="A169" s="7" t="s">
        <v>222</v>
      </c>
      <c r="B169" s="7" t="s">
        <v>274</v>
      </c>
      <c r="C169" s="7" t="s">
        <v>269</v>
      </c>
      <c r="D169" s="7" t="n">
        <v>6</v>
      </c>
      <c r="E169" s="7" t="s">
        <v>734</v>
      </c>
      <c r="F169" s="7" t="s">
        <v>750</v>
      </c>
      <c r="G169" s="7" t="s">
        <v>751</v>
      </c>
      <c r="H169" s="7" t="s">
        <v>752</v>
      </c>
      <c r="I169" s="7" t="str">
        <f aca="false">B169&amp;"|"&amp;A169</f>
        <v>Brazil|CVD-120-2</v>
      </c>
    </row>
    <row r="170" customFormat="false" ht="15" hidden="false" customHeight="false" outlineLevel="0" collapsed="false">
      <c r="A170" s="7" t="s">
        <v>222</v>
      </c>
      <c r="B170" s="7" t="s">
        <v>280</v>
      </c>
      <c r="C170" s="7" t="s">
        <v>306</v>
      </c>
      <c r="D170" s="7" t="n">
        <v>5</v>
      </c>
      <c r="E170" s="7" t="s">
        <v>738</v>
      </c>
      <c r="F170" s="7" t="s">
        <v>753</v>
      </c>
      <c r="G170" s="7" t="s">
        <v>754</v>
      </c>
      <c r="H170" s="7" t="s">
        <v>755</v>
      </c>
      <c r="I170" s="7" t="str">
        <f aca="false">B170&amp;"|"&amp;A170</f>
        <v>Japan|CVD-120-2</v>
      </c>
    </row>
    <row r="171" customFormat="false" ht="15" hidden="false" customHeight="false" outlineLevel="0" collapsed="false">
      <c r="A171" s="7" t="s">
        <v>222</v>
      </c>
      <c r="B171" s="7" t="s">
        <v>285</v>
      </c>
      <c r="C171" s="7" t="s">
        <v>263</v>
      </c>
      <c r="D171" s="7" t="n">
        <v>6</v>
      </c>
      <c r="E171" s="7" t="s">
        <v>742</v>
      </c>
      <c r="F171" s="7" t="s">
        <v>756</v>
      </c>
      <c r="G171" s="7" t="s">
        <v>757</v>
      </c>
      <c r="H171" s="7" t="s">
        <v>758</v>
      </c>
      <c r="I171" s="7" t="str">
        <f aca="false">B171&amp;"|"&amp;A171</f>
        <v>Australia|CVD-120-2</v>
      </c>
    </row>
    <row r="172" customFormat="false" ht="15" hidden="false" customHeight="false" outlineLevel="0" collapsed="false">
      <c r="A172" s="7" t="s">
        <v>227</v>
      </c>
      <c r="B172" s="7" t="s">
        <v>3</v>
      </c>
      <c r="C172" s="7" t="s">
        <v>269</v>
      </c>
      <c r="D172" s="7" t="n">
        <v>5</v>
      </c>
      <c r="E172" s="7" t="s">
        <v>727</v>
      </c>
      <c r="F172" s="7" t="s">
        <v>759</v>
      </c>
      <c r="G172" s="7" t="s">
        <v>505</v>
      </c>
      <c r="H172" s="7" t="s">
        <v>267</v>
      </c>
      <c r="I172" s="7" t="str">
        <f aca="false">B172&amp;"|"&amp;A172</f>
        <v>USA|CVD-130-3</v>
      </c>
    </row>
    <row r="173" customFormat="false" ht="15" hidden="false" customHeight="false" outlineLevel="0" collapsed="false">
      <c r="A173" s="7" t="s">
        <v>227</v>
      </c>
      <c r="B173" s="7" t="s">
        <v>268</v>
      </c>
      <c r="C173" s="7" t="s">
        <v>269</v>
      </c>
      <c r="D173" s="7" t="n">
        <v>7</v>
      </c>
      <c r="E173" s="7" t="s">
        <v>730</v>
      </c>
      <c r="F173" s="7" t="s">
        <v>760</v>
      </c>
      <c r="G173" s="7" t="s">
        <v>761</v>
      </c>
      <c r="H173" s="7" t="s">
        <v>762</v>
      </c>
      <c r="I173" s="7" t="str">
        <f aca="false">B173&amp;"|"&amp;A173</f>
        <v>Germany|CVD-130-3</v>
      </c>
    </row>
    <row r="174" customFormat="false" ht="15" hidden="false" customHeight="false" outlineLevel="0" collapsed="false">
      <c r="A174" s="7" t="s">
        <v>227</v>
      </c>
      <c r="B174" s="7" t="s">
        <v>274</v>
      </c>
      <c r="C174" s="7" t="s">
        <v>263</v>
      </c>
      <c r="D174" s="7" t="n">
        <v>6</v>
      </c>
      <c r="E174" s="7" t="s">
        <v>734</v>
      </c>
      <c r="F174" s="7" t="s">
        <v>763</v>
      </c>
      <c r="G174" s="7" t="s">
        <v>764</v>
      </c>
      <c r="H174" s="7" t="s">
        <v>765</v>
      </c>
      <c r="I174" s="7" t="str">
        <f aca="false">B174&amp;"|"&amp;A174</f>
        <v>Brazil|CVD-130-3</v>
      </c>
    </row>
    <row r="175" customFormat="false" ht="15" hidden="false" customHeight="false" outlineLevel="0" collapsed="false">
      <c r="A175" s="7" t="s">
        <v>227</v>
      </c>
      <c r="B175" s="7" t="s">
        <v>280</v>
      </c>
      <c r="C175" s="7" t="s">
        <v>269</v>
      </c>
      <c r="D175" s="7" t="n">
        <v>5</v>
      </c>
      <c r="E175" s="7" t="s">
        <v>738</v>
      </c>
      <c r="F175" s="7" t="s">
        <v>766</v>
      </c>
      <c r="G175" s="7" t="s">
        <v>667</v>
      </c>
      <c r="H175" s="7" t="s">
        <v>767</v>
      </c>
      <c r="I175" s="7" t="str">
        <f aca="false">B175&amp;"|"&amp;A175</f>
        <v>Japan|CVD-130-3</v>
      </c>
    </row>
    <row r="176" customFormat="false" ht="15" hidden="false" customHeight="false" outlineLevel="0" collapsed="false">
      <c r="A176" s="7" t="s">
        <v>227</v>
      </c>
      <c r="B176" s="7" t="s">
        <v>285</v>
      </c>
      <c r="C176" s="7" t="s">
        <v>306</v>
      </c>
      <c r="D176" s="7" t="n">
        <v>3</v>
      </c>
      <c r="E176" s="7" t="s">
        <v>742</v>
      </c>
      <c r="F176" s="7" t="s">
        <v>768</v>
      </c>
      <c r="G176" s="7" t="s">
        <v>769</v>
      </c>
      <c r="H176" s="7" t="s">
        <v>770</v>
      </c>
      <c r="I176" s="7" t="str">
        <f aca="false">B176&amp;"|"&amp;A176</f>
        <v>Australia|CVD-130-3</v>
      </c>
    </row>
    <row r="177" customFormat="false" ht="15" hidden="false" customHeight="false" outlineLevel="0" collapsed="false">
      <c r="A177" s="7" t="s">
        <v>232</v>
      </c>
      <c r="B177" s="7" t="s">
        <v>3</v>
      </c>
      <c r="C177" s="7" t="s">
        <v>263</v>
      </c>
      <c r="D177" s="7" t="n">
        <v>8</v>
      </c>
      <c r="E177" s="7" t="s">
        <v>727</v>
      </c>
      <c r="F177" s="7" t="s">
        <v>771</v>
      </c>
      <c r="G177" s="7" t="s">
        <v>772</v>
      </c>
      <c r="H177" s="7" t="s">
        <v>267</v>
      </c>
      <c r="I177" s="7" t="str">
        <f aca="false">B177&amp;"|"&amp;A177</f>
        <v>USA|CVD-140-4</v>
      </c>
    </row>
    <row r="178" customFormat="false" ht="15" hidden="false" customHeight="false" outlineLevel="0" collapsed="false">
      <c r="A178" s="7" t="s">
        <v>232</v>
      </c>
      <c r="B178" s="7" t="s">
        <v>268</v>
      </c>
      <c r="C178" s="7" t="s">
        <v>275</v>
      </c>
      <c r="D178" s="7" t="n">
        <v>5</v>
      </c>
      <c r="E178" s="7" t="s">
        <v>730</v>
      </c>
      <c r="F178" s="7" t="s">
        <v>773</v>
      </c>
      <c r="G178" s="7" t="s">
        <v>774</v>
      </c>
      <c r="H178" s="7" t="s">
        <v>775</v>
      </c>
      <c r="I178" s="7" t="str">
        <f aca="false">B178&amp;"|"&amp;A178</f>
        <v>Germany|CVD-140-4</v>
      </c>
    </row>
    <row r="179" customFormat="false" ht="15" hidden="false" customHeight="false" outlineLevel="0" collapsed="false">
      <c r="A179" s="7" t="s">
        <v>232</v>
      </c>
      <c r="B179" s="7" t="s">
        <v>274</v>
      </c>
      <c r="C179" s="7" t="s">
        <v>263</v>
      </c>
      <c r="D179" s="7" t="n">
        <v>5</v>
      </c>
      <c r="E179" s="7" t="s">
        <v>734</v>
      </c>
      <c r="F179" s="7" t="s">
        <v>776</v>
      </c>
      <c r="G179" s="7" t="s">
        <v>775</v>
      </c>
      <c r="H179" s="7" t="s">
        <v>777</v>
      </c>
      <c r="I179" s="7" t="str">
        <f aca="false">B179&amp;"|"&amp;A179</f>
        <v>Brazil|CVD-140-4</v>
      </c>
    </row>
    <row r="180" customFormat="false" ht="15" hidden="false" customHeight="false" outlineLevel="0" collapsed="false">
      <c r="A180" s="7" t="s">
        <v>232</v>
      </c>
      <c r="B180" s="7" t="s">
        <v>280</v>
      </c>
      <c r="C180" s="7" t="s">
        <v>275</v>
      </c>
      <c r="D180" s="7" t="n">
        <v>8</v>
      </c>
      <c r="E180" s="7" t="s">
        <v>738</v>
      </c>
      <c r="F180" s="7" t="s">
        <v>778</v>
      </c>
      <c r="G180" s="7" t="s">
        <v>779</v>
      </c>
      <c r="H180" s="7" t="s">
        <v>780</v>
      </c>
      <c r="I180" s="7" t="str">
        <f aca="false">B180&amp;"|"&amp;A180</f>
        <v>Japan|CVD-140-4</v>
      </c>
    </row>
    <row r="181" customFormat="false" ht="15" hidden="false" customHeight="false" outlineLevel="0" collapsed="false">
      <c r="A181" s="7" t="s">
        <v>232</v>
      </c>
      <c r="B181" s="7" t="s">
        <v>285</v>
      </c>
      <c r="C181" s="7" t="s">
        <v>275</v>
      </c>
      <c r="D181" s="7" t="n">
        <v>3</v>
      </c>
      <c r="E181" s="7" t="s">
        <v>742</v>
      </c>
      <c r="F181" s="7" t="s">
        <v>781</v>
      </c>
      <c r="G181" s="7" t="s">
        <v>782</v>
      </c>
      <c r="H181" s="7" t="s">
        <v>783</v>
      </c>
      <c r="I181" s="7" t="str">
        <f aca="false">B181&amp;"|"&amp;A181</f>
        <v>Australia|CVD-140-4</v>
      </c>
    </row>
    <row r="182" customFormat="false" ht="15" hidden="false" customHeight="false" outlineLevel="0" collapsed="false">
      <c r="A182" s="7" t="s">
        <v>237</v>
      </c>
      <c r="B182" s="7" t="s">
        <v>3</v>
      </c>
      <c r="C182" s="7" t="s">
        <v>269</v>
      </c>
      <c r="D182" s="7" t="n">
        <v>8</v>
      </c>
      <c r="E182" s="7" t="s">
        <v>727</v>
      </c>
      <c r="F182" s="7" t="s">
        <v>784</v>
      </c>
      <c r="G182" s="7" t="s">
        <v>785</v>
      </c>
      <c r="H182" s="7" t="s">
        <v>267</v>
      </c>
      <c r="I182" s="7" t="str">
        <f aca="false">B182&amp;"|"&amp;A182</f>
        <v>USA|CVD-150-5</v>
      </c>
    </row>
    <row r="183" customFormat="false" ht="15" hidden="false" customHeight="false" outlineLevel="0" collapsed="false">
      <c r="A183" s="7" t="s">
        <v>237</v>
      </c>
      <c r="B183" s="7" t="s">
        <v>268</v>
      </c>
      <c r="C183" s="7" t="s">
        <v>269</v>
      </c>
      <c r="D183" s="7" t="n">
        <v>5</v>
      </c>
      <c r="E183" s="7" t="s">
        <v>730</v>
      </c>
      <c r="F183" s="7" t="s">
        <v>786</v>
      </c>
      <c r="G183" s="7" t="s">
        <v>787</v>
      </c>
      <c r="H183" s="7" t="s">
        <v>788</v>
      </c>
      <c r="I183" s="7" t="str">
        <f aca="false">B183&amp;"|"&amp;A183</f>
        <v>Germany|CVD-150-5</v>
      </c>
    </row>
    <row r="184" customFormat="false" ht="15" hidden="false" customHeight="false" outlineLevel="0" collapsed="false">
      <c r="A184" s="7" t="s">
        <v>237</v>
      </c>
      <c r="B184" s="7" t="s">
        <v>274</v>
      </c>
      <c r="C184" s="7" t="s">
        <v>275</v>
      </c>
      <c r="D184" s="7" t="n">
        <v>2</v>
      </c>
      <c r="E184" s="7" t="s">
        <v>734</v>
      </c>
      <c r="F184" s="7" t="s">
        <v>789</v>
      </c>
      <c r="G184" s="7" t="s">
        <v>790</v>
      </c>
      <c r="H184" s="7" t="s">
        <v>791</v>
      </c>
      <c r="I184" s="7" t="str">
        <f aca="false">B184&amp;"|"&amp;A184</f>
        <v>Brazil|CVD-150-5</v>
      </c>
    </row>
    <row r="185" customFormat="false" ht="15" hidden="false" customHeight="false" outlineLevel="0" collapsed="false">
      <c r="A185" s="7" t="s">
        <v>237</v>
      </c>
      <c r="B185" s="7" t="s">
        <v>280</v>
      </c>
      <c r="C185" s="7" t="s">
        <v>275</v>
      </c>
      <c r="D185" s="7" t="n">
        <v>6</v>
      </c>
      <c r="E185" s="7" t="s">
        <v>738</v>
      </c>
      <c r="F185" s="7" t="s">
        <v>792</v>
      </c>
      <c r="G185" s="7" t="s">
        <v>793</v>
      </c>
      <c r="H185" s="7" t="s">
        <v>794</v>
      </c>
      <c r="I185" s="7" t="str">
        <f aca="false">B185&amp;"|"&amp;A185</f>
        <v>Japan|CVD-150-5</v>
      </c>
    </row>
    <row r="186" customFormat="false" ht="15" hidden="false" customHeight="false" outlineLevel="0" collapsed="false">
      <c r="A186" s="7" t="s">
        <v>237</v>
      </c>
      <c r="B186" s="7" t="s">
        <v>285</v>
      </c>
      <c r="C186" s="7" t="s">
        <v>306</v>
      </c>
      <c r="D186" s="7" t="n">
        <v>2</v>
      </c>
      <c r="E186" s="7" t="s">
        <v>742</v>
      </c>
      <c r="F186" s="7" t="s">
        <v>795</v>
      </c>
      <c r="G186" s="7" t="s">
        <v>796</v>
      </c>
      <c r="H186" s="7" t="s">
        <v>797</v>
      </c>
      <c r="I186" s="7" t="str">
        <f aca="false">B186&amp;"|"&amp;A186</f>
        <v>Australia|CVD-150-5</v>
      </c>
    </row>
    <row r="187" customFormat="false" ht="15" hidden="false" customHeight="false" outlineLevel="0" collapsed="false">
      <c r="A187" s="7" t="s">
        <v>242</v>
      </c>
      <c r="B187" s="7" t="s">
        <v>3</v>
      </c>
      <c r="C187" s="7" t="s">
        <v>269</v>
      </c>
      <c r="D187" s="7" t="n">
        <v>5</v>
      </c>
      <c r="E187" s="7" t="s">
        <v>727</v>
      </c>
      <c r="F187" s="7" t="s">
        <v>798</v>
      </c>
      <c r="G187" s="7" t="s">
        <v>799</v>
      </c>
      <c r="H187" s="7" t="s">
        <v>267</v>
      </c>
      <c r="I187" s="7" t="str">
        <f aca="false">B187&amp;"|"&amp;A187</f>
        <v>USA|CVD-160-6</v>
      </c>
    </row>
    <row r="188" customFormat="false" ht="15" hidden="false" customHeight="false" outlineLevel="0" collapsed="false">
      <c r="A188" s="7" t="s">
        <v>242</v>
      </c>
      <c r="B188" s="7" t="s">
        <v>268</v>
      </c>
      <c r="C188" s="7" t="s">
        <v>275</v>
      </c>
      <c r="D188" s="7" t="n">
        <v>1</v>
      </c>
      <c r="E188" s="7" t="s">
        <v>730</v>
      </c>
      <c r="F188" s="7" t="s">
        <v>800</v>
      </c>
      <c r="G188" s="7" t="s">
        <v>801</v>
      </c>
      <c r="H188" s="7" t="s">
        <v>802</v>
      </c>
      <c r="I188" s="7" t="str">
        <f aca="false">B188&amp;"|"&amp;A188</f>
        <v>Germany|CVD-160-6</v>
      </c>
    </row>
    <row r="189" customFormat="false" ht="15" hidden="false" customHeight="false" outlineLevel="0" collapsed="false">
      <c r="A189" s="7" t="s">
        <v>242</v>
      </c>
      <c r="B189" s="7" t="s">
        <v>274</v>
      </c>
      <c r="C189" s="7" t="s">
        <v>275</v>
      </c>
      <c r="D189" s="7" t="n">
        <v>2</v>
      </c>
      <c r="E189" s="7" t="s">
        <v>734</v>
      </c>
      <c r="F189" s="7" t="s">
        <v>803</v>
      </c>
      <c r="G189" s="7" t="s">
        <v>697</v>
      </c>
      <c r="H189" s="7" t="s">
        <v>804</v>
      </c>
      <c r="I189" s="7" t="str">
        <f aca="false">B189&amp;"|"&amp;A189</f>
        <v>Brazil|CVD-160-6</v>
      </c>
    </row>
    <row r="190" customFormat="false" ht="15" hidden="false" customHeight="false" outlineLevel="0" collapsed="false">
      <c r="A190" s="7" t="s">
        <v>242</v>
      </c>
      <c r="B190" s="7" t="s">
        <v>280</v>
      </c>
      <c r="C190" s="7" t="s">
        <v>263</v>
      </c>
      <c r="D190" s="7" t="n">
        <v>7</v>
      </c>
      <c r="E190" s="7" t="s">
        <v>738</v>
      </c>
      <c r="F190" s="7" t="s">
        <v>805</v>
      </c>
      <c r="G190" s="7" t="s">
        <v>806</v>
      </c>
      <c r="H190" s="7" t="s">
        <v>807</v>
      </c>
      <c r="I190" s="7" t="str">
        <f aca="false">B190&amp;"|"&amp;A190</f>
        <v>Japan|CVD-160-6</v>
      </c>
    </row>
    <row r="191" customFormat="false" ht="15" hidden="false" customHeight="false" outlineLevel="0" collapsed="false">
      <c r="A191" s="7" t="s">
        <v>242</v>
      </c>
      <c r="B191" s="7" t="s">
        <v>285</v>
      </c>
      <c r="C191" s="7" t="s">
        <v>269</v>
      </c>
      <c r="D191" s="7" t="n">
        <v>4</v>
      </c>
      <c r="E191" s="7" t="s">
        <v>742</v>
      </c>
      <c r="F191" s="7" t="s">
        <v>808</v>
      </c>
      <c r="G191" s="7" t="s">
        <v>809</v>
      </c>
      <c r="H191" s="7" t="s">
        <v>810</v>
      </c>
      <c r="I191" s="7" t="str">
        <f aca="false">B191&amp;"|"&amp;A191</f>
        <v>Australia|CVD-160-6</v>
      </c>
    </row>
    <row r="192" customFormat="false" ht="15" hidden="false" customHeight="false" outlineLevel="0" collapsed="false">
      <c r="A192" s="7" t="s">
        <v>247</v>
      </c>
      <c r="B192" s="7" t="s">
        <v>3</v>
      </c>
      <c r="C192" s="7" t="s">
        <v>306</v>
      </c>
      <c r="D192" s="7" t="n">
        <v>4</v>
      </c>
      <c r="E192" s="7" t="s">
        <v>727</v>
      </c>
      <c r="F192" s="7" t="s">
        <v>811</v>
      </c>
      <c r="G192" s="7" t="s">
        <v>812</v>
      </c>
      <c r="H192" s="7" t="s">
        <v>267</v>
      </c>
      <c r="I192" s="7" t="str">
        <f aca="false">B192&amp;"|"&amp;A192</f>
        <v>USA|CVD-170-7</v>
      </c>
    </row>
    <row r="193" customFormat="false" ht="15" hidden="false" customHeight="false" outlineLevel="0" collapsed="false">
      <c r="A193" s="7" t="s">
        <v>247</v>
      </c>
      <c r="B193" s="7" t="s">
        <v>268</v>
      </c>
      <c r="C193" s="7" t="s">
        <v>306</v>
      </c>
      <c r="D193" s="7" t="n">
        <v>2</v>
      </c>
      <c r="E193" s="7" t="s">
        <v>730</v>
      </c>
      <c r="F193" s="7" t="s">
        <v>813</v>
      </c>
      <c r="G193" s="7" t="s">
        <v>814</v>
      </c>
      <c r="H193" s="7" t="s">
        <v>815</v>
      </c>
      <c r="I193" s="7" t="str">
        <f aca="false">B193&amp;"|"&amp;A193</f>
        <v>Germany|CVD-170-7</v>
      </c>
    </row>
    <row r="194" customFormat="false" ht="15" hidden="false" customHeight="false" outlineLevel="0" collapsed="false">
      <c r="A194" s="7" t="s">
        <v>247</v>
      </c>
      <c r="B194" s="7" t="s">
        <v>274</v>
      </c>
      <c r="C194" s="7" t="s">
        <v>275</v>
      </c>
      <c r="D194" s="7" t="n">
        <v>8</v>
      </c>
      <c r="E194" s="7" t="s">
        <v>734</v>
      </c>
      <c r="F194" s="7" t="s">
        <v>816</v>
      </c>
      <c r="G194" s="7" t="s">
        <v>817</v>
      </c>
      <c r="H194" s="7" t="s">
        <v>818</v>
      </c>
      <c r="I194" s="7" t="str">
        <f aca="false">B194&amp;"|"&amp;A194</f>
        <v>Brazil|CVD-170-7</v>
      </c>
    </row>
    <row r="195" customFormat="false" ht="15" hidden="false" customHeight="false" outlineLevel="0" collapsed="false">
      <c r="A195" s="7" t="s">
        <v>247</v>
      </c>
      <c r="B195" s="7" t="s">
        <v>280</v>
      </c>
      <c r="C195" s="7" t="s">
        <v>306</v>
      </c>
      <c r="D195" s="7" t="n">
        <v>2</v>
      </c>
      <c r="E195" s="7" t="s">
        <v>738</v>
      </c>
      <c r="F195" s="7" t="s">
        <v>819</v>
      </c>
      <c r="G195" s="7" t="s">
        <v>820</v>
      </c>
      <c r="H195" s="7" t="s">
        <v>821</v>
      </c>
      <c r="I195" s="7" t="str">
        <f aca="false">B195&amp;"|"&amp;A195</f>
        <v>Japan|CVD-170-7</v>
      </c>
    </row>
    <row r="196" customFormat="false" ht="15" hidden="false" customHeight="false" outlineLevel="0" collapsed="false">
      <c r="A196" s="7" t="s">
        <v>247</v>
      </c>
      <c r="B196" s="7" t="s">
        <v>285</v>
      </c>
      <c r="C196" s="7" t="s">
        <v>306</v>
      </c>
      <c r="D196" s="7" t="n">
        <v>3</v>
      </c>
      <c r="E196" s="7" t="s">
        <v>742</v>
      </c>
      <c r="F196" s="7" t="s">
        <v>822</v>
      </c>
      <c r="G196" s="7" t="s">
        <v>823</v>
      </c>
      <c r="H196" s="7" t="s">
        <v>824</v>
      </c>
      <c r="I196" s="7" t="str">
        <f aca="false">B196&amp;"|"&amp;A196</f>
        <v>Australia|CVD-170-7</v>
      </c>
    </row>
    <row r="197" customFormat="false" ht="15" hidden="false" customHeight="false" outlineLevel="0" collapsed="false">
      <c r="A197" s="7" t="s">
        <v>252</v>
      </c>
      <c r="B197" s="7" t="s">
        <v>3</v>
      </c>
      <c r="C197" s="7" t="s">
        <v>275</v>
      </c>
      <c r="D197" s="7" t="n">
        <v>3</v>
      </c>
      <c r="E197" s="7" t="s">
        <v>727</v>
      </c>
      <c r="F197" s="7" t="s">
        <v>825</v>
      </c>
      <c r="G197" s="7" t="s">
        <v>826</v>
      </c>
      <c r="H197" s="7" t="s">
        <v>267</v>
      </c>
      <c r="I197" s="7" t="str">
        <f aca="false">B197&amp;"|"&amp;A197</f>
        <v>USA|CVD-180-8</v>
      </c>
    </row>
    <row r="198" customFormat="false" ht="15" hidden="false" customHeight="false" outlineLevel="0" collapsed="false">
      <c r="A198" s="7" t="s">
        <v>252</v>
      </c>
      <c r="B198" s="7" t="s">
        <v>268</v>
      </c>
      <c r="C198" s="7" t="s">
        <v>269</v>
      </c>
      <c r="D198" s="7" t="n">
        <v>5</v>
      </c>
      <c r="E198" s="7" t="s">
        <v>730</v>
      </c>
      <c r="F198" s="7" t="s">
        <v>827</v>
      </c>
      <c r="G198" s="7" t="s">
        <v>828</v>
      </c>
      <c r="H198" s="7" t="s">
        <v>829</v>
      </c>
      <c r="I198" s="7" t="str">
        <f aca="false">B198&amp;"|"&amp;A198</f>
        <v>Germany|CVD-180-8</v>
      </c>
    </row>
    <row r="199" customFormat="false" ht="15" hidden="false" customHeight="false" outlineLevel="0" collapsed="false">
      <c r="A199" s="7" t="s">
        <v>252</v>
      </c>
      <c r="B199" s="7" t="s">
        <v>274</v>
      </c>
      <c r="C199" s="7" t="s">
        <v>306</v>
      </c>
      <c r="D199" s="7" t="n">
        <v>7</v>
      </c>
      <c r="E199" s="7" t="s">
        <v>734</v>
      </c>
      <c r="F199" s="7" t="s">
        <v>830</v>
      </c>
      <c r="G199" s="7" t="s">
        <v>831</v>
      </c>
      <c r="H199" s="7" t="s">
        <v>832</v>
      </c>
      <c r="I199" s="7" t="str">
        <f aca="false">B199&amp;"|"&amp;A199</f>
        <v>Brazil|CVD-180-8</v>
      </c>
    </row>
    <row r="200" customFormat="false" ht="15" hidden="false" customHeight="false" outlineLevel="0" collapsed="false">
      <c r="A200" s="7" t="s">
        <v>252</v>
      </c>
      <c r="B200" s="7" t="s">
        <v>280</v>
      </c>
      <c r="C200" s="7" t="s">
        <v>306</v>
      </c>
      <c r="D200" s="7" t="n">
        <v>6</v>
      </c>
      <c r="E200" s="7" t="s">
        <v>738</v>
      </c>
      <c r="F200" s="7" t="s">
        <v>833</v>
      </c>
      <c r="G200" s="7" t="s">
        <v>834</v>
      </c>
      <c r="H200" s="7" t="s">
        <v>835</v>
      </c>
      <c r="I200" s="7" t="str">
        <f aca="false">B200&amp;"|"&amp;A200</f>
        <v>Japan|CVD-180-8</v>
      </c>
    </row>
    <row r="201" customFormat="false" ht="15" hidden="false" customHeight="false" outlineLevel="0" collapsed="false">
      <c r="A201" s="7" t="s">
        <v>252</v>
      </c>
      <c r="B201" s="7" t="s">
        <v>285</v>
      </c>
      <c r="C201" s="7" t="s">
        <v>269</v>
      </c>
      <c r="D201" s="7" t="n">
        <v>6</v>
      </c>
      <c r="E201" s="7" t="s">
        <v>742</v>
      </c>
      <c r="F201" s="7" t="s">
        <v>836</v>
      </c>
      <c r="G201" s="7" t="s">
        <v>837</v>
      </c>
      <c r="H201" s="7" t="s">
        <v>838</v>
      </c>
      <c r="I201" s="7" t="str">
        <f aca="false">B201&amp;"|"&amp;A201</f>
        <v>Australia|CVD-180-8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6" t="s">
        <v>839</v>
      </c>
      <c r="B1" s="6" t="s">
        <v>7</v>
      </c>
      <c r="C1" s="6" t="s">
        <v>41</v>
      </c>
      <c r="D1" s="6" t="s">
        <v>840</v>
      </c>
      <c r="E1" s="6" t="s">
        <v>841</v>
      </c>
      <c r="F1" s="6" t="s">
        <v>842</v>
      </c>
      <c r="G1" s="6" t="s">
        <v>843</v>
      </c>
      <c r="H1" s="6" t="s">
        <v>844</v>
      </c>
    </row>
    <row r="2" customFormat="false" ht="15" hidden="false" customHeight="false" outlineLevel="0" collapsed="false">
      <c r="A2" s="7" t="s">
        <v>845</v>
      </c>
      <c r="B2" s="7" t="s">
        <v>45</v>
      </c>
      <c r="C2" s="7" t="s">
        <v>5</v>
      </c>
      <c r="D2" s="7" t="s">
        <v>846</v>
      </c>
      <c r="E2" s="7" t="s">
        <v>847</v>
      </c>
      <c r="F2" s="7" t="s">
        <v>848</v>
      </c>
      <c r="G2" s="7" t="s">
        <v>849</v>
      </c>
      <c r="H2" s="7" t="s">
        <v>850</v>
      </c>
    </row>
    <row r="3" customFormat="false" ht="15" hidden="false" customHeight="false" outlineLevel="0" collapsed="false">
      <c r="A3" s="7" t="s">
        <v>851</v>
      </c>
      <c r="B3" s="7" t="s">
        <v>45</v>
      </c>
      <c r="C3" s="7" t="s">
        <v>5</v>
      </c>
      <c r="D3" s="7" t="s">
        <v>852</v>
      </c>
      <c r="E3" s="7" t="s">
        <v>853</v>
      </c>
      <c r="F3" s="7" t="s">
        <v>848</v>
      </c>
      <c r="G3" s="7" t="s">
        <v>854</v>
      </c>
      <c r="H3" s="7" t="s">
        <v>855</v>
      </c>
    </row>
    <row r="4" customFormat="false" ht="15" hidden="false" customHeight="false" outlineLevel="0" collapsed="false">
      <c r="A4" s="7" t="s">
        <v>856</v>
      </c>
      <c r="B4" s="7" t="s">
        <v>45</v>
      </c>
      <c r="C4" s="7" t="s">
        <v>5</v>
      </c>
      <c r="D4" s="7" t="s">
        <v>857</v>
      </c>
      <c r="E4" s="7" t="s">
        <v>853</v>
      </c>
      <c r="F4" s="7" t="s">
        <v>858</v>
      </c>
      <c r="G4" s="7" t="s">
        <v>849</v>
      </c>
      <c r="H4" s="7" t="s">
        <v>850</v>
      </c>
    </row>
    <row r="5" customFormat="false" ht="15" hidden="false" customHeight="false" outlineLevel="0" collapsed="false">
      <c r="A5" s="7" t="s">
        <v>859</v>
      </c>
      <c r="B5" s="7" t="s">
        <v>45</v>
      </c>
      <c r="C5" s="7" t="s">
        <v>5</v>
      </c>
      <c r="D5" s="7" t="s">
        <v>860</v>
      </c>
      <c r="E5" s="7" t="s">
        <v>847</v>
      </c>
      <c r="F5" s="7" t="s">
        <v>848</v>
      </c>
      <c r="G5" s="7" t="s">
        <v>861</v>
      </c>
      <c r="H5" s="7" t="s">
        <v>862</v>
      </c>
    </row>
    <row r="6" customFormat="false" ht="15" hidden="false" customHeight="false" outlineLevel="0" collapsed="false">
      <c r="A6" s="7" t="s">
        <v>863</v>
      </c>
      <c r="B6" s="7" t="s">
        <v>45</v>
      </c>
      <c r="C6" s="7" t="s">
        <v>5</v>
      </c>
      <c r="D6" s="7" t="s">
        <v>864</v>
      </c>
      <c r="E6" s="7" t="s">
        <v>847</v>
      </c>
      <c r="F6" s="7" t="s">
        <v>848</v>
      </c>
      <c r="G6" s="7" t="s">
        <v>854</v>
      </c>
      <c r="H6" s="7" t="s">
        <v>862</v>
      </c>
    </row>
    <row r="7" customFormat="false" ht="15" hidden="false" customHeight="false" outlineLevel="0" collapsed="false">
      <c r="A7" s="7" t="s">
        <v>865</v>
      </c>
      <c r="B7" s="7" t="s">
        <v>53</v>
      </c>
      <c r="C7" s="7" t="s">
        <v>5</v>
      </c>
      <c r="D7" s="7" t="s">
        <v>866</v>
      </c>
      <c r="E7" s="7" t="s">
        <v>853</v>
      </c>
      <c r="F7" s="7" t="s">
        <v>867</v>
      </c>
      <c r="G7" s="7" t="s">
        <v>868</v>
      </c>
      <c r="H7" s="7" t="s">
        <v>850</v>
      </c>
    </row>
    <row r="8" customFormat="false" ht="15" hidden="false" customHeight="false" outlineLevel="0" collapsed="false">
      <c r="A8" s="7" t="s">
        <v>869</v>
      </c>
      <c r="B8" s="7" t="s">
        <v>53</v>
      </c>
      <c r="C8" s="7" t="s">
        <v>5</v>
      </c>
      <c r="D8" s="7" t="s">
        <v>870</v>
      </c>
      <c r="E8" s="7" t="s">
        <v>847</v>
      </c>
      <c r="F8" s="7" t="s">
        <v>858</v>
      </c>
      <c r="G8" s="7" t="s">
        <v>871</v>
      </c>
      <c r="H8" s="7" t="s">
        <v>855</v>
      </c>
    </row>
    <row r="9" customFormat="false" ht="15" hidden="false" customHeight="false" outlineLevel="0" collapsed="false">
      <c r="A9" s="7" t="s">
        <v>872</v>
      </c>
      <c r="B9" s="7" t="s">
        <v>53</v>
      </c>
      <c r="C9" s="7" t="s">
        <v>5</v>
      </c>
      <c r="D9" s="7" t="s">
        <v>873</v>
      </c>
      <c r="E9" s="7" t="s">
        <v>853</v>
      </c>
      <c r="F9" s="7" t="s">
        <v>858</v>
      </c>
      <c r="G9" s="7" t="s">
        <v>871</v>
      </c>
      <c r="H9" s="7" t="s">
        <v>855</v>
      </c>
    </row>
    <row r="10" customFormat="false" ht="15" hidden="false" customHeight="false" outlineLevel="0" collapsed="false">
      <c r="A10" s="7" t="s">
        <v>874</v>
      </c>
      <c r="B10" s="7" t="s">
        <v>53</v>
      </c>
      <c r="C10" s="7" t="s">
        <v>5</v>
      </c>
      <c r="D10" s="7" t="s">
        <v>875</v>
      </c>
      <c r="E10" s="7" t="s">
        <v>876</v>
      </c>
      <c r="F10" s="7" t="s">
        <v>867</v>
      </c>
      <c r="G10" s="7" t="s">
        <v>871</v>
      </c>
      <c r="H10" s="7" t="s">
        <v>855</v>
      </c>
    </row>
    <row r="11" customFormat="false" ht="15" hidden="false" customHeight="false" outlineLevel="0" collapsed="false">
      <c r="A11" s="7" t="s">
        <v>877</v>
      </c>
      <c r="B11" s="7" t="s">
        <v>61</v>
      </c>
      <c r="C11" s="7" t="s">
        <v>5</v>
      </c>
      <c r="D11" s="7" t="s">
        <v>878</v>
      </c>
      <c r="E11" s="7" t="s">
        <v>853</v>
      </c>
      <c r="F11" s="7" t="s">
        <v>867</v>
      </c>
      <c r="G11" s="7" t="s">
        <v>861</v>
      </c>
      <c r="H11" s="7" t="s">
        <v>850</v>
      </c>
    </row>
    <row r="12" customFormat="false" ht="15" hidden="false" customHeight="false" outlineLevel="0" collapsed="false">
      <c r="A12" s="7" t="s">
        <v>879</v>
      </c>
      <c r="B12" s="7" t="s">
        <v>61</v>
      </c>
      <c r="C12" s="7" t="s">
        <v>5</v>
      </c>
      <c r="D12" s="7" t="s">
        <v>880</v>
      </c>
      <c r="E12" s="7" t="s">
        <v>881</v>
      </c>
      <c r="F12" s="7" t="s">
        <v>858</v>
      </c>
      <c r="G12" s="7" t="s">
        <v>871</v>
      </c>
      <c r="H12" s="7" t="s">
        <v>882</v>
      </c>
    </row>
    <row r="13" customFormat="false" ht="15" hidden="false" customHeight="false" outlineLevel="0" collapsed="false">
      <c r="A13" s="7" t="s">
        <v>883</v>
      </c>
      <c r="B13" s="7" t="s">
        <v>61</v>
      </c>
      <c r="C13" s="7" t="s">
        <v>5</v>
      </c>
      <c r="D13" s="7" t="s">
        <v>884</v>
      </c>
      <c r="E13" s="7" t="s">
        <v>885</v>
      </c>
      <c r="F13" s="7" t="s">
        <v>848</v>
      </c>
      <c r="G13" s="7" t="s">
        <v>854</v>
      </c>
      <c r="H13" s="7" t="s">
        <v>882</v>
      </c>
    </row>
    <row r="14" customFormat="false" ht="15" hidden="false" customHeight="false" outlineLevel="0" collapsed="false">
      <c r="A14" s="7" t="s">
        <v>886</v>
      </c>
      <c r="B14" s="7" t="s">
        <v>61</v>
      </c>
      <c r="C14" s="7" t="s">
        <v>5</v>
      </c>
      <c r="D14" s="7" t="s">
        <v>779</v>
      </c>
      <c r="E14" s="7" t="s">
        <v>847</v>
      </c>
      <c r="F14" s="7" t="s">
        <v>848</v>
      </c>
      <c r="G14" s="7" t="s">
        <v>861</v>
      </c>
      <c r="H14" s="7" t="s">
        <v>850</v>
      </c>
    </row>
    <row r="15" customFormat="false" ht="15" hidden="false" customHeight="false" outlineLevel="0" collapsed="false">
      <c r="A15" s="7" t="s">
        <v>887</v>
      </c>
      <c r="B15" s="7" t="s">
        <v>61</v>
      </c>
      <c r="C15" s="7" t="s">
        <v>5</v>
      </c>
      <c r="D15" s="7" t="s">
        <v>888</v>
      </c>
      <c r="E15" s="7" t="s">
        <v>853</v>
      </c>
      <c r="F15" s="7" t="s">
        <v>858</v>
      </c>
      <c r="G15" s="7" t="s">
        <v>871</v>
      </c>
      <c r="H15" s="7" t="s">
        <v>862</v>
      </c>
    </row>
    <row r="16" customFormat="false" ht="15" hidden="false" customHeight="false" outlineLevel="0" collapsed="false">
      <c r="A16" s="7" t="s">
        <v>889</v>
      </c>
      <c r="B16" s="7" t="s">
        <v>67</v>
      </c>
      <c r="C16" s="7" t="s">
        <v>5</v>
      </c>
      <c r="D16" s="7" t="s">
        <v>890</v>
      </c>
      <c r="E16" s="7" t="s">
        <v>847</v>
      </c>
      <c r="F16" s="7" t="s">
        <v>848</v>
      </c>
      <c r="G16" s="7" t="s">
        <v>849</v>
      </c>
      <c r="H16" s="7" t="s">
        <v>882</v>
      </c>
    </row>
    <row r="17" customFormat="false" ht="15" hidden="false" customHeight="false" outlineLevel="0" collapsed="false">
      <c r="A17" s="7" t="s">
        <v>891</v>
      </c>
      <c r="B17" s="7" t="s">
        <v>67</v>
      </c>
      <c r="C17" s="7" t="s">
        <v>5</v>
      </c>
      <c r="D17" s="7" t="s">
        <v>892</v>
      </c>
      <c r="E17" s="7" t="s">
        <v>881</v>
      </c>
      <c r="F17" s="7" t="s">
        <v>858</v>
      </c>
      <c r="G17" s="7" t="s">
        <v>861</v>
      </c>
      <c r="H17" s="7" t="s">
        <v>850</v>
      </c>
    </row>
    <row r="18" customFormat="false" ht="15" hidden="false" customHeight="false" outlineLevel="0" collapsed="false">
      <c r="A18" s="7" t="s">
        <v>893</v>
      </c>
      <c r="B18" s="7" t="s">
        <v>67</v>
      </c>
      <c r="C18" s="7" t="s">
        <v>5</v>
      </c>
      <c r="D18" s="7" t="s">
        <v>894</v>
      </c>
      <c r="E18" s="7" t="s">
        <v>895</v>
      </c>
      <c r="F18" s="7" t="s">
        <v>858</v>
      </c>
      <c r="G18" s="7" t="s">
        <v>861</v>
      </c>
      <c r="H18" s="7" t="s">
        <v>862</v>
      </c>
    </row>
    <row r="19" customFormat="false" ht="15" hidden="false" customHeight="false" outlineLevel="0" collapsed="false">
      <c r="A19" s="7" t="s">
        <v>896</v>
      </c>
      <c r="B19" s="7" t="s">
        <v>73</v>
      </c>
      <c r="C19" s="7" t="s">
        <v>5</v>
      </c>
      <c r="D19" s="7" t="s">
        <v>897</v>
      </c>
      <c r="E19" s="7" t="s">
        <v>881</v>
      </c>
      <c r="F19" s="7" t="s">
        <v>848</v>
      </c>
      <c r="G19" s="7" t="s">
        <v>854</v>
      </c>
      <c r="H19" s="7" t="s">
        <v>855</v>
      </c>
    </row>
    <row r="20" customFormat="false" ht="15" hidden="false" customHeight="false" outlineLevel="0" collapsed="false">
      <c r="A20" s="7" t="s">
        <v>898</v>
      </c>
      <c r="B20" s="7" t="s">
        <v>73</v>
      </c>
      <c r="C20" s="7" t="s">
        <v>5</v>
      </c>
      <c r="D20" s="7" t="s">
        <v>899</v>
      </c>
      <c r="E20" s="7" t="s">
        <v>881</v>
      </c>
      <c r="F20" s="7" t="s">
        <v>848</v>
      </c>
      <c r="G20" s="7" t="s">
        <v>868</v>
      </c>
      <c r="H20" s="7" t="s">
        <v>862</v>
      </c>
    </row>
    <row r="21" customFormat="false" ht="15" hidden="false" customHeight="false" outlineLevel="0" collapsed="false">
      <c r="A21" s="7" t="s">
        <v>900</v>
      </c>
      <c r="B21" s="7" t="s">
        <v>78</v>
      </c>
      <c r="C21" s="7" t="s">
        <v>5</v>
      </c>
      <c r="D21" s="7" t="s">
        <v>901</v>
      </c>
      <c r="E21" s="7" t="s">
        <v>881</v>
      </c>
      <c r="F21" s="7" t="s">
        <v>867</v>
      </c>
      <c r="G21" s="7" t="s">
        <v>871</v>
      </c>
      <c r="H21" s="7" t="s">
        <v>862</v>
      </c>
    </row>
    <row r="22" customFormat="false" ht="15" hidden="false" customHeight="false" outlineLevel="0" collapsed="false">
      <c r="A22" s="7" t="s">
        <v>902</v>
      </c>
      <c r="B22" s="7" t="s">
        <v>78</v>
      </c>
      <c r="C22" s="7" t="s">
        <v>5</v>
      </c>
      <c r="D22" s="7" t="s">
        <v>903</v>
      </c>
      <c r="E22" s="7" t="s">
        <v>881</v>
      </c>
      <c r="F22" s="7" t="s">
        <v>858</v>
      </c>
      <c r="G22" s="7" t="s">
        <v>854</v>
      </c>
      <c r="H22" s="7" t="s">
        <v>855</v>
      </c>
    </row>
    <row r="23" customFormat="false" ht="15" hidden="false" customHeight="false" outlineLevel="0" collapsed="false">
      <c r="A23" s="7" t="s">
        <v>904</v>
      </c>
      <c r="B23" s="7" t="s">
        <v>78</v>
      </c>
      <c r="C23" s="7" t="s">
        <v>5</v>
      </c>
      <c r="D23" s="7" t="s">
        <v>905</v>
      </c>
      <c r="E23" s="7" t="s">
        <v>853</v>
      </c>
      <c r="F23" s="7" t="s">
        <v>858</v>
      </c>
      <c r="G23" s="7" t="s">
        <v>854</v>
      </c>
      <c r="H23" s="7" t="s">
        <v>855</v>
      </c>
    </row>
    <row r="24" customFormat="false" ht="15" hidden="false" customHeight="false" outlineLevel="0" collapsed="false">
      <c r="A24" s="7" t="s">
        <v>906</v>
      </c>
      <c r="B24" s="7" t="s">
        <v>78</v>
      </c>
      <c r="C24" s="7" t="s">
        <v>5</v>
      </c>
      <c r="D24" s="7" t="s">
        <v>907</v>
      </c>
      <c r="E24" s="7" t="s">
        <v>881</v>
      </c>
      <c r="F24" s="7" t="s">
        <v>867</v>
      </c>
      <c r="G24" s="7" t="s">
        <v>861</v>
      </c>
      <c r="H24" s="7" t="s">
        <v>850</v>
      </c>
    </row>
    <row r="25" customFormat="false" ht="15" hidden="false" customHeight="false" outlineLevel="0" collapsed="false">
      <c r="A25" s="7" t="s">
        <v>908</v>
      </c>
      <c r="B25" s="7" t="s">
        <v>78</v>
      </c>
      <c r="C25" s="7" t="s">
        <v>5</v>
      </c>
      <c r="D25" s="7" t="s">
        <v>909</v>
      </c>
      <c r="E25" s="7" t="s">
        <v>881</v>
      </c>
      <c r="F25" s="7" t="s">
        <v>858</v>
      </c>
      <c r="G25" s="7" t="s">
        <v>854</v>
      </c>
      <c r="H25" s="7" t="s">
        <v>850</v>
      </c>
    </row>
    <row r="26" customFormat="false" ht="15" hidden="false" customHeight="false" outlineLevel="0" collapsed="false">
      <c r="A26" s="7" t="s">
        <v>910</v>
      </c>
      <c r="B26" s="7" t="s">
        <v>83</v>
      </c>
      <c r="C26" s="7" t="s">
        <v>5</v>
      </c>
      <c r="D26" s="7" t="s">
        <v>911</v>
      </c>
      <c r="E26" s="7" t="s">
        <v>885</v>
      </c>
      <c r="F26" s="7" t="s">
        <v>858</v>
      </c>
      <c r="G26" s="7" t="s">
        <v>854</v>
      </c>
      <c r="H26" s="7" t="s">
        <v>855</v>
      </c>
    </row>
    <row r="27" customFormat="false" ht="15" hidden="false" customHeight="false" outlineLevel="0" collapsed="false">
      <c r="A27" s="7" t="s">
        <v>912</v>
      </c>
      <c r="B27" s="7" t="s">
        <v>83</v>
      </c>
      <c r="C27" s="7" t="s">
        <v>5</v>
      </c>
      <c r="D27" s="7" t="s">
        <v>913</v>
      </c>
      <c r="E27" s="7" t="s">
        <v>895</v>
      </c>
      <c r="F27" s="7" t="s">
        <v>867</v>
      </c>
      <c r="G27" s="7" t="s">
        <v>854</v>
      </c>
      <c r="H27" s="7" t="s">
        <v>850</v>
      </c>
    </row>
    <row r="28" customFormat="false" ht="15" hidden="false" customHeight="false" outlineLevel="0" collapsed="false">
      <c r="A28" s="7" t="s">
        <v>914</v>
      </c>
      <c r="B28" s="7" t="s">
        <v>83</v>
      </c>
      <c r="C28" s="7" t="s">
        <v>5</v>
      </c>
      <c r="D28" s="7" t="s">
        <v>915</v>
      </c>
      <c r="E28" s="7" t="s">
        <v>853</v>
      </c>
      <c r="F28" s="7" t="s">
        <v>858</v>
      </c>
      <c r="G28" s="7" t="s">
        <v>854</v>
      </c>
      <c r="H28" s="7" t="s">
        <v>850</v>
      </c>
    </row>
    <row r="29" customFormat="false" ht="15" hidden="false" customHeight="false" outlineLevel="0" collapsed="false">
      <c r="A29" s="7" t="s">
        <v>916</v>
      </c>
      <c r="B29" s="7" t="s">
        <v>88</v>
      </c>
      <c r="C29" s="7" t="s">
        <v>5</v>
      </c>
      <c r="D29" s="7" t="s">
        <v>917</v>
      </c>
      <c r="E29" s="7" t="s">
        <v>847</v>
      </c>
      <c r="F29" s="7" t="s">
        <v>858</v>
      </c>
      <c r="G29" s="7" t="s">
        <v>868</v>
      </c>
      <c r="H29" s="7" t="s">
        <v>850</v>
      </c>
    </row>
    <row r="30" customFormat="false" ht="15" hidden="false" customHeight="false" outlineLevel="0" collapsed="false">
      <c r="A30" s="7" t="s">
        <v>918</v>
      </c>
      <c r="B30" s="7" t="s">
        <v>88</v>
      </c>
      <c r="C30" s="7" t="s">
        <v>5</v>
      </c>
      <c r="D30" s="7" t="s">
        <v>919</v>
      </c>
      <c r="E30" s="7" t="s">
        <v>895</v>
      </c>
      <c r="F30" s="7" t="s">
        <v>867</v>
      </c>
      <c r="G30" s="7" t="s">
        <v>868</v>
      </c>
      <c r="H30" s="7" t="s">
        <v>850</v>
      </c>
    </row>
    <row r="31" customFormat="false" ht="15" hidden="false" customHeight="false" outlineLevel="0" collapsed="false">
      <c r="A31" s="7" t="s">
        <v>920</v>
      </c>
      <c r="B31" s="7" t="s">
        <v>88</v>
      </c>
      <c r="C31" s="7" t="s">
        <v>5</v>
      </c>
      <c r="D31" s="7" t="s">
        <v>921</v>
      </c>
      <c r="E31" s="7" t="s">
        <v>853</v>
      </c>
      <c r="F31" s="7" t="s">
        <v>858</v>
      </c>
      <c r="G31" s="7" t="s">
        <v>868</v>
      </c>
      <c r="H31" s="7" t="s">
        <v>862</v>
      </c>
    </row>
    <row r="32" customFormat="false" ht="15" hidden="false" customHeight="false" outlineLevel="0" collapsed="false">
      <c r="A32" s="7" t="s">
        <v>922</v>
      </c>
      <c r="B32" s="7" t="s">
        <v>93</v>
      </c>
      <c r="C32" s="7" t="s">
        <v>99</v>
      </c>
      <c r="D32" s="7" t="s">
        <v>923</v>
      </c>
      <c r="E32" s="7" t="s">
        <v>885</v>
      </c>
      <c r="F32" s="7" t="s">
        <v>858</v>
      </c>
      <c r="G32" s="7" t="s">
        <v>849</v>
      </c>
      <c r="H32" s="7" t="s">
        <v>850</v>
      </c>
    </row>
    <row r="33" customFormat="false" ht="15" hidden="false" customHeight="false" outlineLevel="0" collapsed="false">
      <c r="A33" s="7" t="s">
        <v>924</v>
      </c>
      <c r="B33" s="7" t="s">
        <v>93</v>
      </c>
      <c r="C33" s="7" t="s">
        <v>99</v>
      </c>
      <c r="D33" s="7" t="s">
        <v>925</v>
      </c>
      <c r="E33" s="7" t="s">
        <v>876</v>
      </c>
      <c r="F33" s="7" t="s">
        <v>858</v>
      </c>
      <c r="G33" s="7" t="s">
        <v>849</v>
      </c>
      <c r="H33" s="7" t="s">
        <v>882</v>
      </c>
    </row>
    <row r="34" customFormat="false" ht="15" hidden="false" customHeight="false" outlineLevel="0" collapsed="false">
      <c r="A34" s="7" t="s">
        <v>926</v>
      </c>
      <c r="B34" s="7" t="s">
        <v>93</v>
      </c>
      <c r="C34" s="7" t="s">
        <v>99</v>
      </c>
      <c r="D34" s="7" t="s">
        <v>927</v>
      </c>
      <c r="E34" s="7" t="s">
        <v>853</v>
      </c>
      <c r="F34" s="7" t="s">
        <v>848</v>
      </c>
      <c r="G34" s="7" t="s">
        <v>868</v>
      </c>
      <c r="H34" s="7" t="s">
        <v>855</v>
      </c>
    </row>
    <row r="35" customFormat="false" ht="15" hidden="false" customHeight="false" outlineLevel="0" collapsed="false">
      <c r="A35" s="7" t="s">
        <v>928</v>
      </c>
      <c r="B35" s="7" t="s">
        <v>93</v>
      </c>
      <c r="C35" s="7" t="s">
        <v>99</v>
      </c>
      <c r="D35" s="7" t="s">
        <v>929</v>
      </c>
      <c r="E35" s="7" t="s">
        <v>881</v>
      </c>
      <c r="F35" s="7" t="s">
        <v>848</v>
      </c>
      <c r="G35" s="7" t="s">
        <v>854</v>
      </c>
      <c r="H35" s="7" t="s">
        <v>862</v>
      </c>
    </row>
    <row r="36" customFormat="false" ht="15" hidden="false" customHeight="false" outlineLevel="0" collapsed="false">
      <c r="A36" s="7" t="s">
        <v>930</v>
      </c>
      <c r="B36" s="7" t="s">
        <v>93</v>
      </c>
      <c r="C36" s="7" t="s">
        <v>99</v>
      </c>
      <c r="D36" s="7" t="s">
        <v>931</v>
      </c>
      <c r="E36" s="7" t="s">
        <v>881</v>
      </c>
      <c r="F36" s="7" t="s">
        <v>867</v>
      </c>
      <c r="G36" s="7" t="s">
        <v>849</v>
      </c>
      <c r="H36" s="7" t="s">
        <v>855</v>
      </c>
    </row>
    <row r="37" customFormat="false" ht="15" hidden="false" customHeight="false" outlineLevel="0" collapsed="false">
      <c r="A37" s="7" t="s">
        <v>932</v>
      </c>
      <c r="B37" s="7" t="s">
        <v>100</v>
      </c>
      <c r="C37" s="7" t="s">
        <v>99</v>
      </c>
      <c r="D37" s="7" t="s">
        <v>933</v>
      </c>
      <c r="E37" s="7" t="s">
        <v>876</v>
      </c>
      <c r="F37" s="7" t="s">
        <v>848</v>
      </c>
      <c r="G37" s="7" t="s">
        <v>868</v>
      </c>
      <c r="H37" s="7" t="s">
        <v>882</v>
      </c>
    </row>
    <row r="38" customFormat="false" ht="15" hidden="false" customHeight="false" outlineLevel="0" collapsed="false">
      <c r="A38" s="7" t="s">
        <v>934</v>
      </c>
      <c r="B38" s="7" t="s">
        <v>100</v>
      </c>
      <c r="C38" s="7" t="s">
        <v>99</v>
      </c>
      <c r="D38" s="7" t="s">
        <v>935</v>
      </c>
      <c r="E38" s="7" t="s">
        <v>876</v>
      </c>
      <c r="F38" s="7" t="s">
        <v>858</v>
      </c>
      <c r="G38" s="7" t="s">
        <v>861</v>
      </c>
      <c r="H38" s="7" t="s">
        <v>850</v>
      </c>
    </row>
    <row r="39" customFormat="false" ht="15" hidden="false" customHeight="false" outlineLevel="0" collapsed="false">
      <c r="A39" s="7" t="s">
        <v>936</v>
      </c>
      <c r="B39" s="7" t="s">
        <v>100</v>
      </c>
      <c r="C39" s="7" t="s">
        <v>99</v>
      </c>
      <c r="D39" s="7" t="s">
        <v>937</v>
      </c>
      <c r="E39" s="7" t="s">
        <v>876</v>
      </c>
      <c r="F39" s="7" t="s">
        <v>867</v>
      </c>
      <c r="G39" s="7" t="s">
        <v>868</v>
      </c>
      <c r="H39" s="7" t="s">
        <v>850</v>
      </c>
    </row>
    <row r="40" customFormat="false" ht="15" hidden="false" customHeight="false" outlineLevel="0" collapsed="false">
      <c r="A40" s="7" t="s">
        <v>938</v>
      </c>
      <c r="B40" s="7" t="s">
        <v>105</v>
      </c>
      <c r="C40" s="7" t="s">
        <v>99</v>
      </c>
      <c r="D40" s="7" t="s">
        <v>939</v>
      </c>
      <c r="E40" s="7" t="s">
        <v>881</v>
      </c>
      <c r="F40" s="7" t="s">
        <v>867</v>
      </c>
      <c r="G40" s="7" t="s">
        <v>849</v>
      </c>
      <c r="H40" s="7" t="s">
        <v>862</v>
      </c>
    </row>
    <row r="41" customFormat="false" ht="15" hidden="false" customHeight="false" outlineLevel="0" collapsed="false">
      <c r="A41" s="7" t="s">
        <v>940</v>
      </c>
      <c r="B41" s="7" t="s">
        <v>105</v>
      </c>
      <c r="C41" s="7" t="s">
        <v>99</v>
      </c>
      <c r="D41" s="7" t="s">
        <v>772</v>
      </c>
      <c r="E41" s="7" t="s">
        <v>853</v>
      </c>
      <c r="F41" s="7" t="s">
        <v>867</v>
      </c>
      <c r="G41" s="7" t="s">
        <v>854</v>
      </c>
      <c r="H41" s="7" t="s">
        <v>855</v>
      </c>
    </row>
    <row r="42" customFormat="false" ht="15" hidden="false" customHeight="false" outlineLevel="0" collapsed="false">
      <c r="A42" s="7" t="s">
        <v>941</v>
      </c>
      <c r="B42" s="7" t="s">
        <v>110</v>
      </c>
      <c r="C42" s="7" t="s">
        <v>99</v>
      </c>
      <c r="D42" s="7" t="s">
        <v>909</v>
      </c>
      <c r="E42" s="7" t="s">
        <v>876</v>
      </c>
      <c r="F42" s="7" t="s">
        <v>867</v>
      </c>
      <c r="G42" s="7" t="s">
        <v>868</v>
      </c>
      <c r="H42" s="7" t="s">
        <v>850</v>
      </c>
    </row>
    <row r="43" customFormat="false" ht="15" hidden="false" customHeight="false" outlineLevel="0" collapsed="false">
      <c r="A43" s="7" t="s">
        <v>942</v>
      </c>
      <c r="B43" s="7" t="s">
        <v>110</v>
      </c>
      <c r="C43" s="7" t="s">
        <v>99</v>
      </c>
      <c r="D43" s="7" t="s">
        <v>943</v>
      </c>
      <c r="E43" s="7" t="s">
        <v>853</v>
      </c>
      <c r="F43" s="7" t="s">
        <v>858</v>
      </c>
      <c r="G43" s="7" t="s">
        <v>871</v>
      </c>
      <c r="H43" s="7" t="s">
        <v>862</v>
      </c>
    </row>
    <row r="44" customFormat="false" ht="15" hidden="false" customHeight="false" outlineLevel="0" collapsed="false">
      <c r="A44" s="7" t="s">
        <v>944</v>
      </c>
      <c r="B44" s="7" t="s">
        <v>110</v>
      </c>
      <c r="C44" s="7" t="s">
        <v>99</v>
      </c>
      <c r="D44" s="7" t="s">
        <v>945</v>
      </c>
      <c r="E44" s="7" t="s">
        <v>885</v>
      </c>
      <c r="F44" s="7" t="s">
        <v>848</v>
      </c>
      <c r="G44" s="7" t="s">
        <v>861</v>
      </c>
      <c r="H44" s="7" t="s">
        <v>855</v>
      </c>
    </row>
    <row r="45" customFormat="false" ht="15" hidden="false" customHeight="false" outlineLevel="0" collapsed="false">
      <c r="A45" s="7" t="s">
        <v>946</v>
      </c>
      <c r="B45" s="7" t="s">
        <v>110</v>
      </c>
      <c r="C45" s="7" t="s">
        <v>99</v>
      </c>
      <c r="D45" s="7" t="s">
        <v>947</v>
      </c>
      <c r="E45" s="7" t="s">
        <v>885</v>
      </c>
      <c r="F45" s="7" t="s">
        <v>858</v>
      </c>
      <c r="G45" s="7" t="s">
        <v>871</v>
      </c>
      <c r="H45" s="7" t="s">
        <v>882</v>
      </c>
    </row>
    <row r="46" customFormat="false" ht="15" hidden="false" customHeight="false" outlineLevel="0" collapsed="false">
      <c r="A46" s="7" t="s">
        <v>948</v>
      </c>
      <c r="B46" s="7" t="s">
        <v>115</v>
      </c>
      <c r="C46" s="7" t="s">
        <v>99</v>
      </c>
      <c r="D46" s="7" t="s">
        <v>949</v>
      </c>
      <c r="E46" s="7" t="s">
        <v>885</v>
      </c>
      <c r="F46" s="7" t="s">
        <v>848</v>
      </c>
      <c r="G46" s="7" t="s">
        <v>861</v>
      </c>
      <c r="H46" s="7" t="s">
        <v>855</v>
      </c>
    </row>
    <row r="47" customFormat="false" ht="15" hidden="false" customHeight="false" outlineLevel="0" collapsed="false">
      <c r="A47" s="7" t="s">
        <v>950</v>
      </c>
      <c r="B47" s="7" t="s">
        <v>115</v>
      </c>
      <c r="C47" s="7" t="s">
        <v>99</v>
      </c>
      <c r="D47" s="7" t="s">
        <v>951</v>
      </c>
      <c r="E47" s="7" t="s">
        <v>895</v>
      </c>
      <c r="F47" s="7" t="s">
        <v>848</v>
      </c>
      <c r="G47" s="7" t="s">
        <v>854</v>
      </c>
      <c r="H47" s="7" t="s">
        <v>850</v>
      </c>
    </row>
    <row r="48" customFormat="false" ht="15" hidden="false" customHeight="false" outlineLevel="0" collapsed="false">
      <c r="A48" s="7" t="s">
        <v>952</v>
      </c>
      <c r="B48" s="7" t="s">
        <v>115</v>
      </c>
      <c r="C48" s="7" t="s">
        <v>99</v>
      </c>
      <c r="D48" s="7" t="s">
        <v>953</v>
      </c>
      <c r="E48" s="7" t="s">
        <v>885</v>
      </c>
      <c r="F48" s="7" t="s">
        <v>867</v>
      </c>
      <c r="G48" s="7" t="s">
        <v>868</v>
      </c>
      <c r="H48" s="7" t="s">
        <v>850</v>
      </c>
    </row>
    <row r="49" customFormat="false" ht="15" hidden="false" customHeight="false" outlineLevel="0" collapsed="false">
      <c r="A49" s="7" t="s">
        <v>954</v>
      </c>
      <c r="B49" s="7" t="s">
        <v>120</v>
      </c>
      <c r="C49" s="7" t="s">
        <v>99</v>
      </c>
      <c r="D49" s="7" t="s">
        <v>955</v>
      </c>
      <c r="E49" s="7" t="s">
        <v>847</v>
      </c>
      <c r="F49" s="7" t="s">
        <v>858</v>
      </c>
      <c r="G49" s="7" t="s">
        <v>868</v>
      </c>
      <c r="H49" s="7" t="s">
        <v>850</v>
      </c>
    </row>
    <row r="50" customFormat="false" ht="15" hidden="false" customHeight="false" outlineLevel="0" collapsed="false">
      <c r="A50" s="7" t="s">
        <v>956</v>
      </c>
      <c r="B50" s="7" t="s">
        <v>120</v>
      </c>
      <c r="C50" s="7" t="s">
        <v>99</v>
      </c>
      <c r="D50" s="7" t="s">
        <v>957</v>
      </c>
      <c r="E50" s="7" t="s">
        <v>847</v>
      </c>
      <c r="F50" s="7" t="s">
        <v>858</v>
      </c>
      <c r="G50" s="7" t="s">
        <v>854</v>
      </c>
      <c r="H50" s="7" t="s">
        <v>862</v>
      </c>
    </row>
    <row r="51" customFormat="false" ht="15" hidden="false" customHeight="false" outlineLevel="0" collapsed="false">
      <c r="A51" s="7" t="s">
        <v>958</v>
      </c>
      <c r="B51" s="7" t="s">
        <v>120</v>
      </c>
      <c r="C51" s="7" t="s">
        <v>99</v>
      </c>
      <c r="D51" s="7" t="s">
        <v>959</v>
      </c>
      <c r="E51" s="7" t="s">
        <v>885</v>
      </c>
      <c r="F51" s="7" t="s">
        <v>858</v>
      </c>
      <c r="G51" s="7" t="s">
        <v>871</v>
      </c>
      <c r="H51" s="7" t="s">
        <v>862</v>
      </c>
    </row>
    <row r="52" customFormat="false" ht="15" hidden="false" customHeight="false" outlineLevel="0" collapsed="false">
      <c r="A52" s="7" t="s">
        <v>960</v>
      </c>
      <c r="B52" s="7" t="s">
        <v>120</v>
      </c>
      <c r="C52" s="7" t="s">
        <v>99</v>
      </c>
      <c r="D52" s="7" t="s">
        <v>961</v>
      </c>
      <c r="E52" s="7" t="s">
        <v>847</v>
      </c>
      <c r="F52" s="7" t="s">
        <v>867</v>
      </c>
      <c r="G52" s="7" t="s">
        <v>868</v>
      </c>
      <c r="H52" s="7" t="s">
        <v>855</v>
      </c>
    </row>
    <row r="53" customFormat="false" ht="15" hidden="false" customHeight="false" outlineLevel="0" collapsed="false">
      <c r="A53" s="7" t="s">
        <v>962</v>
      </c>
      <c r="B53" s="7" t="s">
        <v>120</v>
      </c>
      <c r="C53" s="7" t="s">
        <v>99</v>
      </c>
      <c r="D53" s="7" t="s">
        <v>963</v>
      </c>
      <c r="E53" s="7" t="s">
        <v>885</v>
      </c>
      <c r="F53" s="7" t="s">
        <v>867</v>
      </c>
      <c r="G53" s="7" t="s">
        <v>871</v>
      </c>
      <c r="H53" s="7" t="s">
        <v>855</v>
      </c>
    </row>
    <row r="54" customFormat="false" ht="15" hidden="false" customHeight="false" outlineLevel="0" collapsed="false">
      <c r="A54" s="7" t="s">
        <v>964</v>
      </c>
      <c r="B54" s="7" t="s">
        <v>125</v>
      </c>
      <c r="C54" s="7" t="s">
        <v>99</v>
      </c>
      <c r="D54" s="7" t="s">
        <v>965</v>
      </c>
      <c r="E54" s="7" t="s">
        <v>895</v>
      </c>
      <c r="F54" s="7" t="s">
        <v>848</v>
      </c>
      <c r="G54" s="7" t="s">
        <v>861</v>
      </c>
      <c r="H54" s="7" t="s">
        <v>862</v>
      </c>
    </row>
    <row r="55" customFormat="false" ht="15" hidden="false" customHeight="false" outlineLevel="0" collapsed="false">
      <c r="A55" s="7" t="s">
        <v>966</v>
      </c>
      <c r="B55" s="7" t="s">
        <v>125</v>
      </c>
      <c r="C55" s="7" t="s">
        <v>99</v>
      </c>
      <c r="D55" s="7" t="s">
        <v>967</v>
      </c>
      <c r="E55" s="7" t="s">
        <v>876</v>
      </c>
      <c r="F55" s="7" t="s">
        <v>867</v>
      </c>
      <c r="G55" s="7" t="s">
        <v>871</v>
      </c>
      <c r="H55" s="7" t="s">
        <v>855</v>
      </c>
    </row>
    <row r="56" customFormat="false" ht="15" hidden="false" customHeight="false" outlineLevel="0" collapsed="false">
      <c r="A56" s="7" t="s">
        <v>968</v>
      </c>
      <c r="B56" s="7" t="s">
        <v>130</v>
      </c>
      <c r="C56" s="7" t="s">
        <v>99</v>
      </c>
      <c r="D56" s="7" t="s">
        <v>969</v>
      </c>
      <c r="E56" s="7" t="s">
        <v>876</v>
      </c>
      <c r="F56" s="7" t="s">
        <v>867</v>
      </c>
      <c r="G56" s="7" t="s">
        <v>868</v>
      </c>
      <c r="H56" s="7" t="s">
        <v>850</v>
      </c>
    </row>
    <row r="57" customFormat="false" ht="15" hidden="false" customHeight="false" outlineLevel="0" collapsed="false">
      <c r="A57" s="7" t="s">
        <v>970</v>
      </c>
      <c r="B57" s="7" t="s">
        <v>130</v>
      </c>
      <c r="C57" s="7" t="s">
        <v>99</v>
      </c>
      <c r="D57" s="7" t="s">
        <v>971</v>
      </c>
      <c r="E57" s="7" t="s">
        <v>881</v>
      </c>
      <c r="F57" s="7" t="s">
        <v>867</v>
      </c>
      <c r="G57" s="7" t="s">
        <v>849</v>
      </c>
      <c r="H57" s="7" t="s">
        <v>850</v>
      </c>
    </row>
    <row r="58" customFormat="false" ht="15" hidden="false" customHeight="false" outlineLevel="0" collapsed="false">
      <c r="A58" s="7" t="s">
        <v>972</v>
      </c>
      <c r="B58" s="7" t="s">
        <v>130</v>
      </c>
      <c r="C58" s="7" t="s">
        <v>99</v>
      </c>
      <c r="D58" s="7" t="s">
        <v>973</v>
      </c>
      <c r="E58" s="7" t="s">
        <v>895</v>
      </c>
      <c r="F58" s="7" t="s">
        <v>848</v>
      </c>
      <c r="G58" s="7" t="s">
        <v>854</v>
      </c>
      <c r="H58" s="7" t="s">
        <v>850</v>
      </c>
    </row>
    <row r="59" customFormat="false" ht="15" hidden="false" customHeight="false" outlineLevel="0" collapsed="false">
      <c r="A59" s="7" t="s">
        <v>974</v>
      </c>
      <c r="B59" s="7" t="s">
        <v>135</v>
      </c>
      <c r="C59" s="7" t="s">
        <v>140</v>
      </c>
      <c r="D59" s="7" t="s">
        <v>779</v>
      </c>
      <c r="E59" s="7" t="s">
        <v>847</v>
      </c>
      <c r="F59" s="7" t="s">
        <v>858</v>
      </c>
      <c r="G59" s="7" t="s">
        <v>868</v>
      </c>
      <c r="H59" s="7" t="s">
        <v>850</v>
      </c>
    </row>
    <row r="60" customFormat="false" ht="15" hidden="false" customHeight="false" outlineLevel="0" collapsed="false">
      <c r="A60" s="7" t="s">
        <v>975</v>
      </c>
      <c r="B60" s="7" t="s">
        <v>135</v>
      </c>
      <c r="C60" s="7" t="s">
        <v>140</v>
      </c>
      <c r="D60" s="7" t="s">
        <v>976</v>
      </c>
      <c r="E60" s="7" t="s">
        <v>847</v>
      </c>
      <c r="F60" s="7" t="s">
        <v>848</v>
      </c>
      <c r="G60" s="7" t="s">
        <v>849</v>
      </c>
      <c r="H60" s="7" t="s">
        <v>882</v>
      </c>
    </row>
    <row r="61" customFormat="false" ht="15" hidden="false" customHeight="false" outlineLevel="0" collapsed="false">
      <c r="A61" s="7" t="s">
        <v>977</v>
      </c>
      <c r="B61" s="7" t="s">
        <v>135</v>
      </c>
      <c r="C61" s="7" t="s">
        <v>140</v>
      </c>
      <c r="D61" s="7" t="s">
        <v>978</v>
      </c>
      <c r="E61" s="7" t="s">
        <v>876</v>
      </c>
      <c r="F61" s="7" t="s">
        <v>848</v>
      </c>
      <c r="G61" s="7" t="s">
        <v>849</v>
      </c>
      <c r="H61" s="7" t="s">
        <v>855</v>
      </c>
    </row>
    <row r="62" customFormat="false" ht="15" hidden="false" customHeight="false" outlineLevel="0" collapsed="false">
      <c r="A62" s="7" t="s">
        <v>979</v>
      </c>
      <c r="B62" s="7" t="s">
        <v>141</v>
      </c>
      <c r="C62" s="7" t="s">
        <v>140</v>
      </c>
      <c r="D62" s="7" t="s">
        <v>980</v>
      </c>
      <c r="E62" s="7" t="s">
        <v>853</v>
      </c>
      <c r="F62" s="7" t="s">
        <v>848</v>
      </c>
      <c r="G62" s="7" t="s">
        <v>868</v>
      </c>
      <c r="H62" s="7" t="s">
        <v>850</v>
      </c>
    </row>
    <row r="63" customFormat="false" ht="15" hidden="false" customHeight="false" outlineLevel="0" collapsed="false">
      <c r="A63" s="7" t="s">
        <v>981</v>
      </c>
      <c r="B63" s="7" t="s">
        <v>141</v>
      </c>
      <c r="C63" s="7" t="s">
        <v>140</v>
      </c>
      <c r="D63" s="7" t="s">
        <v>888</v>
      </c>
      <c r="E63" s="7" t="s">
        <v>895</v>
      </c>
      <c r="F63" s="7" t="s">
        <v>867</v>
      </c>
      <c r="G63" s="7" t="s">
        <v>849</v>
      </c>
      <c r="H63" s="7" t="s">
        <v>850</v>
      </c>
    </row>
    <row r="64" customFormat="false" ht="15" hidden="false" customHeight="false" outlineLevel="0" collapsed="false">
      <c r="A64" s="7" t="s">
        <v>982</v>
      </c>
      <c r="B64" s="7" t="s">
        <v>141</v>
      </c>
      <c r="C64" s="7" t="s">
        <v>140</v>
      </c>
      <c r="D64" s="7" t="s">
        <v>983</v>
      </c>
      <c r="E64" s="7" t="s">
        <v>847</v>
      </c>
      <c r="F64" s="7" t="s">
        <v>867</v>
      </c>
      <c r="G64" s="7" t="s">
        <v>861</v>
      </c>
      <c r="H64" s="7" t="s">
        <v>855</v>
      </c>
    </row>
    <row r="65" customFormat="false" ht="15" hidden="false" customHeight="false" outlineLevel="0" collapsed="false">
      <c r="A65" s="7" t="s">
        <v>984</v>
      </c>
      <c r="B65" s="7" t="s">
        <v>141</v>
      </c>
      <c r="C65" s="7" t="s">
        <v>140</v>
      </c>
      <c r="D65" s="7" t="s">
        <v>985</v>
      </c>
      <c r="E65" s="7" t="s">
        <v>895</v>
      </c>
      <c r="F65" s="7" t="s">
        <v>867</v>
      </c>
      <c r="G65" s="7" t="s">
        <v>861</v>
      </c>
      <c r="H65" s="7" t="s">
        <v>882</v>
      </c>
    </row>
    <row r="66" customFormat="false" ht="15" hidden="false" customHeight="false" outlineLevel="0" collapsed="false">
      <c r="A66" s="7" t="s">
        <v>986</v>
      </c>
      <c r="B66" s="7" t="s">
        <v>146</v>
      </c>
      <c r="C66" s="7" t="s">
        <v>140</v>
      </c>
      <c r="D66" s="7" t="s">
        <v>987</v>
      </c>
      <c r="E66" s="7" t="s">
        <v>876</v>
      </c>
      <c r="F66" s="7" t="s">
        <v>858</v>
      </c>
      <c r="G66" s="7" t="s">
        <v>861</v>
      </c>
      <c r="H66" s="7" t="s">
        <v>882</v>
      </c>
    </row>
    <row r="67" customFormat="false" ht="15" hidden="false" customHeight="false" outlineLevel="0" collapsed="false">
      <c r="A67" s="7" t="s">
        <v>988</v>
      </c>
      <c r="B67" s="7" t="s">
        <v>146</v>
      </c>
      <c r="C67" s="7" t="s">
        <v>140</v>
      </c>
      <c r="D67" s="7" t="s">
        <v>989</v>
      </c>
      <c r="E67" s="7" t="s">
        <v>847</v>
      </c>
      <c r="F67" s="7" t="s">
        <v>848</v>
      </c>
      <c r="G67" s="7" t="s">
        <v>868</v>
      </c>
      <c r="H67" s="7" t="s">
        <v>855</v>
      </c>
    </row>
    <row r="68" customFormat="false" ht="15" hidden="false" customHeight="false" outlineLevel="0" collapsed="false">
      <c r="A68" s="7" t="s">
        <v>990</v>
      </c>
      <c r="B68" s="7" t="s">
        <v>151</v>
      </c>
      <c r="C68" s="7" t="s">
        <v>140</v>
      </c>
      <c r="D68" s="7" t="s">
        <v>991</v>
      </c>
      <c r="E68" s="7" t="s">
        <v>853</v>
      </c>
      <c r="F68" s="7" t="s">
        <v>858</v>
      </c>
      <c r="G68" s="7" t="s">
        <v>854</v>
      </c>
      <c r="H68" s="7" t="s">
        <v>855</v>
      </c>
    </row>
    <row r="69" customFormat="false" ht="15" hidden="false" customHeight="false" outlineLevel="0" collapsed="false">
      <c r="A69" s="7" t="s">
        <v>992</v>
      </c>
      <c r="B69" s="7" t="s">
        <v>151</v>
      </c>
      <c r="C69" s="7" t="s">
        <v>140</v>
      </c>
      <c r="D69" s="7" t="s">
        <v>993</v>
      </c>
      <c r="E69" s="7" t="s">
        <v>853</v>
      </c>
      <c r="F69" s="7" t="s">
        <v>858</v>
      </c>
      <c r="G69" s="7" t="s">
        <v>868</v>
      </c>
      <c r="H69" s="7" t="s">
        <v>855</v>
      </c>
    </row>
    <row r="70" customFormat="false" ht="15" hidden="false" customHeight="false" outlineLevel="0" collapsed="false">
      <c r="A70" s="7" t="s">
        <v>994</v>
      </c>
      <c r="B70" s="7" t="s">
        <v>151</v>
      </c>
      <c r="C70" s="7" t="s">
        <v>140</v>
      </c>
      <c r="D70" s="7" t="s">
        <v>995</v>
      </c>
      <c r="E70" s="7" t="s">
        <v>876</v>
      </c>
      <c r="F70" s="7" t="s">
        <v>858</v>
      </c>
      <c r="G70" s="7" t="s">
        <v>849</v>
      </c>
      <c r="H70" s="7" t="s">
        <v>882</v>
      </c>
    </row>
    <row r="71" customFormat="false" ht="15" hidden="false" customHeight="false" outlineLevel="0" collapsed="false">
      <c r="A71" s="7" t="s">
        <v>996</v>
      </c>
      <c r="B71" s="7" t="s">
        <v>151</v>
      </c>
      <c r="C71" s="7" t="s">
        <v>140</v>
      </c>
      <c r="D71" s="7" t="s">
        <v>997</v>
      </c>
      <c r="E71" s="7" t="s">
        <v>885</v>
      </c>
      <c r="F71" s="7" t="s">
        <v>858</v>
      </c>
      <c r="G71" s="7" t="s">
        <v>849</v>
      </c>
      <c r="H71" s="7" t="s">
        <v>850</v>
      </c>
    </row>
    <row r="72" customFormat="false" ht="15" hidden="false" customHeight="false" outlineLevel="0" collapsed="false">
      <c r="A72" s="7" t="s">
        <v>998</v>
      </c>
      <c r="B72" s="7" t="s">
        <v>156</v>
      </c>
      <c r="C72" s="7" t="s">
        <v>140</v>
      </c>
      <c r="D72" s="7" t="s">
        <v>999</v>
      </c>
      <c r="E72" s="7" t="s">
        <v>876</v>
      </c>
      <c r="F72" s="7" t="s">
        <v>858</v>
      </c>
      <c r="G72" s="7" t="s">
        <v>854</v>
      </c>
      <c r="H72" s="7" t="s">
        <v>862</v>
      </c>
    </row>
    <row r="73" customFormat="false" ht="15" hidden="false" customHeight="false" outlineLevel="0" collapsed="false">
      <c r="A73" s="7" t="s">
        <v>1000</v>
      </c>
      <c r="B73" s="7" t="s">
        <v>156</v>
      </c>
      <c r="C73" s="7" t="s">
        <v>140</v>
      </c>
      <c r="D73" s="7" t="s">
        <v>1001</v>
      </c>
      <c r="E73" s="7" t="s">
        <v>881</v>
      </c>
      <c r="F73" s="7" t="s">
        <v>858</v>
      </c>
      <c r="G73" s="7" t="s">
        <v>868</v>
      </c>
      <c r="H73" s="7" t="s">
        <v>850</v>
      </c>
    </row>
    <row r="74" customFormat="false" ht="15" hidden="false" customHeight="false" outlineLevel="0" collapsed="false">
      <c r="A74" s="7" t="s">
        <v>1002</v>
      </c>
      <c r="B74" s="7" t="s">
        <v>156</v>
      </c>
      <c r="C74" s="7" t="s">
        <v>140</v>
      </c>
      <c r="D74" s="7" t="s">
        <v>1003</v>
      </c>
      <c r="E74" s="7" t="s">
        <v>847</v>
      </c>
      <c r="F74" s="7" t="s">
        <v>848</v>
      </c>
      <c r="G74" s="7" t="s">
        <v>849</v>
      </c>
      <c r="H74" s="7" t="s">
        <v>855</v>
      </c>
    </row>
    <row r="75" customFormat="false" ht="15" hidden="false" customHeight="false" outlineLevel="0" collapsed="false">
      <c r="A75" s="7" t="s">
        <v>1004</v>
      </c>
      <c r="B75" s="7" t="s">
        <v>156</v>
      </c>
      <c r="C75" s="7" t="s">
        <v>140</v>
      </c>
      <c r="D75" s="7" t="s">
        <v>1005</v>
      </c>
      <c r="E75" s="7" t="s">
        <v>876</v>
      </c>
      <c r="F75" s="7" t="s">
        <v>848</v>
      </c>
      <c r="G75" s="7" t="s">
        <v>854</v>
      </c>
      <c r="H75" s="7" t="s">
        <v>850</v>
      </c>
    </row>
    <row r="76" customFormat="false" ht="15" hidden="false" customHeight="false" outlineLevel="0" collapsed="false">
      <c r="A76" s="7" t="s">
        <v>1006</v>
      </c>
      <c r="B76" s="7" t="s">
        <v>156</v>
      </c>
      <c r="C76" s="7" t="s">
        <v>140</v>
      </c>
      <c r="D76" s="7" t="s">
        <v>1007</v>
      </c>
      <c r="E76" s="7" t="s">
        <v>853</v>
      </c>
      <c r="F76" s="7" t="s">
        <v>858</v>
      </c>
      <c r="G76" s="7" t="s">
        <v>861</v>
      </c>
      <c r="H76" s="7" t="s">
        <v>862</v>
      </c>
    </row>
    <row r="77" customFormat="false" ht="15" hidden="false" customHeight="false" outlineLevel="0" collapsed="false">
      <c r="A77" s="7" t="s">
        <v>1008</v>
      </c>
      <c r="B77" s="7" t="s">
        <v>161</v>
      </c>
      <c r="C77" s="7" t="s">
        <v>140</v>
      </c>
      <c r="D77" s="7" t="s">
        <v>624</v>
      </c>
      <c r="E77" s="7" t="s">
        <v>876</v>
      </c>
      <c r="F77" s="7" t="s">
        <v>858</v>
      </c>
      <c r="G77" s="7" t="s">
        <v>868</v>
      </c>
      <c r="H77" s="7" t="s">
        <v>850</v>
      </c>
    </row>
    <row r="78" customFormat="false" ht="15" hidden="false" customHeight="false" outlineLevel="0" collapsed="false">
      <c r="A78" s="7" t="s">
        <v>1009</v>
      </c>
      <c r="B78" s="7" t="s">
        <v>161</v>
      </c>
      <c r="C78" s="7" t="s">
        <v>140</v>
      </c>
      <c r="D78" s="7" t="s">
        <v>1010</v>
      </c>
      <c r="E78" s="7" t="s">
        <v>847</v>
      </c>
      <c r="F78" s="7" t="s">
        <v>867</v>
      </c>
      <c r="G78" s="7" t="s">
        <v>871</v>
      </c>
      <c r="H78" s="7" t="s">
        <v>850</v>
      </c>
    </row>
    <row r="79" customFormat="false" ht="15" hidden="false" customHeight="false" outlineLevel="0" collapsed="false">
      <c r="A79" s="7" t="s">
        <v>1011</v>
      </c>
      <c r="B79" s="7" t="s">
        <v>161</v>
      </c>
      <c r="C79" s="7" t="s">
        <v>140</v>
      </c>
      <c r="D79" s="7" t="s">
        <v>1012</v>
      </c>
      <c r="E79" s="7" t="s">
        <v>895</v>
      </c>
      <c r="F79" s="7" t="s">
        <v>858</v>
      </c>
      <c r="G79" s="7" t="s">
        <v>871</v>
      </c>
      <c r="H79" s="7" t="s">
        <v>862</v>
      </c>
    </row>
    <row r="80" customFormat="false" ht="15" hidden="false" customHeight="false" outlineLevel="0" collapsed="false">
      <c r="A80" s="7" t="s">
        <v>1013</v>
      </c>
      <c r="B80" s="7" t="s">
        <v>161</v>
      </c>
      <c r="C80" s="7" t="s">
        <v>140</v>
      </c>
      <c r="D80" s="7" t="s">
        <v>1014</v>
      </c>
      <c r="E80" s="7" t="s">
        <v>847</v>
      </c>
      <c r="F80" s="7" t="s">
        <v>867</v>
      </c>
      <c r="G80" s="7" t="s">
        <v>849</v>
      </c>
      <c r="H80" s="7" t="s">
        <v>882</v>
      </c>
    </row>
    <row r="81" customFormat="false" ht="15" hidden="false" customHeight="false" outlineLevel="0" collapsed="false">
      <c r="A81" s="7" t="s">
        <v>1015</v>
      </c>
      <c r="B81" s="7" t="s">
        <v>166</v>
      </c>
      <c r="C81" s="7" t="s">
        <v>140</v>
      </c>
      <c r="D81" s="7" t="s">
        <v>1016</v>
      </c>
      <c r="E81" s="7" t="s">
        <v>895</v>
      </c>
      <c r="F81" s="7" t="s">
        <v>858</v>
      </c>
      <c r="G81" s="7" t="s">
        <v>868</v>
      </c>
      <c r="H81" s="7" t="s">
        <v>855</v>
      </c>
    </row>
    <row r="82" customFormat="false" ht="15" hidden="false" customHeight="false" outlineLevel="0" collapsed="false">
      <c r="A82" s="7" t="s">
        <v>1017</v>
      </c>
      <c r="B82" s="7" t="s">
        <v>166</v>
      </c>
      <c r="C82" s="7" t="s">
        <v>140</v>
      </c>
      <c r="D82" s="7" t="s">
        <v>1018</v>
      </c>
      <c r="E82" s="7" t="s">
        <v>881</v>
      </c>
      <c r="F82" s="7" t="s">
        <v>848</v>
      </c>
      <c r="G82" s="7" t="s">
        <v>854</v>
      </c>
      <c r="H82" s="7" t="s">
        <v>862</v>
      </c>
    </row>
    <row r="83" customFormat="false" ht="15" hidden="false" customHeight="false" outlineLevel="0" collapsed="false">
      <c r="A83" s="7" t="s">
        <v>1019</v>
      </c>
      <c r="B83" s="7" t="s">
        <v>166</v>
      </c>
      <c r="C83" s="7" t="s">
        <v>140</v>
      </c>
      <c r="D83" s="7" t="s">
        <v>1020</v>
      </c>
      <c r="E83" s="7" t="s">
        <v>895</v>
      </c>
      <c r="F83" s="7" t="s">
        <v>858</v>
      </c>
      <c r="G83" s="7" t="s">
        <v>854</v>
      </c>
      <c r="H83" s="7" t="s">
        <v>882</v>
      </c>
    </row>
    <row r="84" customFormat="false" ht="15" hidden="false" customHeight="false" outlineLevel="0" collapsed="false">
      <c r="A84" s="7" t="s">
        <v>1021</v>
      </c>
      <c r="B84" s="7" t="s">
        <v>166</v>
      </c>
      <c r="C84" s="7" t="s">
        <v>140</v>
      </c>
      <c r="D84" s="7" t="s">
        <v>1022</v>
      </c>
      <c r="E84" s="7" t="s">
        <v>847</v>
      </c>
      <c r="F84" s="7" t="s">
        <v>848</v>
      </c>
      <c r="G84" s="7" t="s">
        <v>871</v>
      </c>
      <c r="H84" s="7" t="s">
        <v>882</v>
      </c>
    </row>
    <row r="85" customFormat="false" ht="15" hidden="false" customHeight="false" outlineLevel="0" collapsed="false">
      <c r="A85" s="7" t="s">
        <v>1023</v>
      </c>
      <c r="B85" s="7" t="s">
        <v>171</v>
      </c>
      <c r="C85" s="7" t="s">
        <v>140</v>
      </c>
      <c r="D85" s="7" t="s">
        <v>1024</v>
      </c>
      <c r="E85" s="7" t="s">
        <v>885</v>
      </c>
      <c r="F85" s="7" t="s">
        <v>867</v>
      </c>
      <c r="G85" s="7" t="s">
        <v>861</v>
      </c>
      <c r="H85" s="7" t="s">
        <v>855</v>
      </c>
    </row>
    <row r="86" customFormat="false" ht="15" hidden="false" customHeight="false" outlineLevel="0" collapsed="false">
      <c r="A86" s="7" t="s">
        <v>1025</v>
      </c>
      <c r="B86" s="7" t="s">
        <v>171</v>
      </c>
      <c r="C86" s="7" t="s">
        <v>140</v>
      </c>
      <c r="D86" s="7" t="s">
        <v>1026</v>
      </c>
      <c r="E86" s="7" t="s">
        <v>876</v>
      </c>
      <c r="F86" s="7" t="s">
        <v>858</v>
      </c>
      <c r="G86" s="7" t="s">
        <v>861</v>
      </c>
      <c r="H86" s="7" t="s">
        <v>862</v>
      </c>
    </row>
    <row r="87" customFormat="false" ht="15" hidden="false" customHeight="false" outlineLevel="0" collapsed="false">
      <c r="A87" s="7" t="s">
        <v>1027</v>
      </c>
      <c r="B87" s="7" t="s">
        <v>175</v>
      </c>
      <c r="C87" s="7" t="s">
        <v>180</v>
      </c>
      <c r="D87" s="7" t="s">
        <v>1028</v>
      </c>
      <c r="E87" s="7" t="s">
        <v>876</v>
      </c>
      <c r="F87" s="7" t="s">
        <v>858</v>
      </c>
      <c r="G87" s="7" t="s">
        <v>854</v>
      </c>
      <c r="H87" s="7" t="s">
        <v>862</v>
      </c>
    </row>
    <row r="88" customFormat="false" ht="15" hidden="false" customHeight="false" outlineLevel="0" collapsed="false">
      <c r="A88" s="7" t="s">
        <v>1029</v>
      </c>
      <c r="B88" s="7" t="s">
        <v>175</v>
      </c>
      <c r="C88" s="7" t="s">
        <v>180</v>
      </c>
      <c r="D88" s="7" t="s">
        <v>1030</v>
      </c>
      <c r="E88" s="7" t="s">
        <v>885</v>
      </c>
      <c r="F88" s="7" t="s">
        <v>848</v>
      </c>
      <c r="G88" s="7" t="s">
        <v>849</v>
      </c>
      <c r="H88" s="7" t="s">
        <v>882</v>
      </c>
    </row>
    <row r="89" customFormat="false" ht="15" hidden="false" customHeight="false" outlineLevel="0" collapsed="false">
      <c r="A89" s="7" t="s">
        <v>1031</v>
      </c>
      <c r="B89" s="7" t="s">
        <v>181</v>
      </c>
      <c r="C89" s="7" t="s">
        <v>180</v>
      </c>
      <c r="D89" s="7" t="s">
        <v>1032</v>
      </c>
      <c r="E89" s="7" t="s">
        <v>847</v>
      </c>
      <c r="F89" s="7" t="s">
        <v>858</v>
      </c>
      <c r="G89" s="7" t="s">
        <v>854</v>
      </c>
      <c r="H89" s="7" t="s">
        <v>882</v>
      </c>
    </row>
    <row r="90" customFormat="false" ht="15" hidden="false" customHeight="false" outlineLevel="0" collapsed="false">
      <c r="A90" s="7" t="s">
        <v>1033</v>
      </c>
      <c r="B90" s="7" t="s">
        <v>181</v>
      </c>
      <c r="C90" s="7" t="s">
        <v>180</v>
      </c>
      <c r="D90" s="7" t="s">
        <v>1034</v>
      </c>
      <c r="E90" s="7" t="s">
        <v>847</v>
      </c>
      <c r="F90" s="7" t="s">
        <v>858</v>
      </c>
      <c r="G90" s="7" t="s">
        <v>854</v>
      </c>
      <c r="H90" s="7" t="s">
        <v>882</v>
      </c>
    </row>
    <row r="91" customFormat="false" ht="15" hidden="false" customHeight="false" outlineLevel="0" collapsed="false">
      <c r="A91" s="7" t="s">
        <v>1035</v>
      </c>
      <c r="B91" s="7" t="s">
        <v>181</v>
      </c>
      <c r="C91" s="7" t="s">
        <v>180</v>
      </c>
      <c r="D91" s="7" t="s">
        <v>1036</v>
      </c>
      <c r="E91" s="7" t="s">
        <v>881</v>
      </c>
      <c r="F91" s="7" t="s">
        <v>848</v>
      </c>
      <c r="G91" s="7" t="s">
        <v>861</v>
      </c>
      <c r="H91" s="7" t="s">
        <v>855</v>
      </c>
    </row>
    <row r="92" customFormat="false" ht="15" hidden="false" customHeight="false" outlineLevel="0" collapsed="false">
      <c r="A92" s="7" t="s">
        <v>1037</v>
      </c>
      <c r="B92" s="7" t="s">
        <v>181</v>
      </c>
      <c r="C92" s="7" t="s">
        <v>180</v>
      </c>
      <c r="D92" s="7" t="s">
        <v>1038</v>
      </c>
      <c r="E92" s="7" t="s">
        <v>876</v>
      </c>
      <c r="F92" s="7" t="s">
        <v>848</v>
      </c>
      <c r="G92" s="7" t="s">
        <v>868</v>
      </c>
      <c r="H92" s="7" t="s">
        <v>862</v>
      </c>
    </row>
    <row r="93" customFormat="false" ht="15" hidden="false" customHeight="false" outlineLevel="0" collapsed="false">
      <c r="A93" s="7" t="s">
        <v>1039</v>
      </c>
      <c r="B93" s="7" t="s">
        <v>181</v>
      </c>
      <c r="C93" s="7" t="s">
        <v>180</v>
      </c>
      <c r="D93" s="7" t="s">
        <v>1040</v>
      </c>
      <c r="E93" s="7" t="s">
        <v>847</v>
      </c>
      <c r="F93" s="7" t="s">
        <v>867</v>
      </c>
      <c r="G93" s="7" t="s">
        <v>854</v>
      </c>
      <c r="H93" s="7" t="s">
        <v>855</v>
      </c>
    </row>
    <row r="94" customFormat="false" ht="15" hidden="false" customHeight="false" outlineLevel="0" collapsed="false">
      <c r="A94" s="7" t="s">
        <v>1041</v>
      </c>
      <c r="B94" s="7" t="s">
        <v>186</v>
      </c>
      <c r="C94" s="7" t="s">
        <v>180</v>
      </c>
      <c r="D94" s="7" t="s">
        <v>1042</v>
      </c>
      <c r="E94" s="7" t="s">
        <v>876</v>
      </c>
      <c r="F94" s="7" t="s">
        <v>867</v>
      </c>
      <c r="G94" s="7" t="s">
        <v>861</v>
      </c>
      <c r="H94" s="7" t="s">
        <v>855</v>
      </c>
    </row>
    <row r="95" customFormat="false" ht="15" hidden="false" customHeight="false" outlineLevel="0" collapsed="false">
      <c r="A95" s="7" t="s">
        <v>1043</v>
      </c>
      <c r="B95" s="7" t="s">
        <v>186</v>
      </c>
      <c r="C95" s="7" t="s">
        <v>180</v>
      </c>
      <c r="D95" s="7" t="s">
        <v>1044</v>
      </c>
      <c r="E95" s="7" t="s">
        <v>881</v>
      </c>
      <c r="F95" s="7" t="s">
        <v>848</v>
      </c>
      <c r="G95" s="7" t="s">
        <v>854</v>
      </c>
      <c r="H95" s="7" t="s">
        <v>862</v>
      </c>
    </row>
    <row r="96" customFormat="false" ht="15" hidden="false" customHeight="false" outlineLevel="0" collapsed="false">
      <c r="A96" s="7" t="s">
        <v>1045</v>
      </c>
      <c r="B96" s="7" t="s">
        <v>186</v>
      </c>
      <c r="C96" s="7" t="s">
        <v>180</v>
      </c>
      <c r="D96" s="7" t="s">
        <v>1046</v>
      </c>
      <c r="E96" s="7" t="s">
        <v>895</v>
      </c>
      <c r="F96" s="7" t="s">
        <v>848</v>
      </c>
      <c r="G96" s="7" t="s">
        <v>849</v>
      </c>
      <c r="H96" s="7" t="s">
        <v>855</v>
      </c>
    </row>
    <row r="97" customFormat="false" ht="15" hidden="false" customHeight="false" outlineLevel="0" collapsed="false">
      <c r="A97" s="7" t="s">
        <v>1047</v>
      </c>
      <c r="B97" s="7" t="s">
        <v>186</v>
      </c>
      <c r="C97" s="7" t="s">
        <v>180</v>
      </c>
      <c r="D97" s="7" t="s">
        <v>1048</v>
      </c>
      <c r="E97" s="7" t="s">
        <v>853</v>
      </c>
      <c r="F97" s="7" t="s">
        <v>858</v>
      </c>
      <c r="G97" s="7" t="s">
        <v>868</v>
      </c>
      <c r="H97" s="7" t="s">
        <v>882</v>
      </c>
    </row>
    <row r="98" customFormat="false" ht="15" hidden="false" customHeight="false" outlineLevel="0" collapsed="false">
      <c r="A98" s="7" t="s">
        <v>1049</v>
      </c>
      <c r="B98" s="7" t="s">
        <v>191</v>
      </c>
      <c r="C98" s="7" t="s">
        <v>180</v>
      </c>
      <c r="D98" s="7" t="s">
        <v>1050</v>
      </c>
      <c r="E98" s="7" t="s">
        <v>885</v>
      </c>
      <c r="F98" s="7" t="s">
        <v>858</v>
      </c>
      <c r="G98" s="7" t="s">
        <v>868</v>
      </c>
      <c r="H98" s="7" t="s">
        <v>882</v>
      </c>
    </row>
    <row r="99" customFormat="false" ht="15" hidden="false" customHeight="false" outlineLevel="0" collapsed="false">
      <c r="A99" s="7" t="s">
        <v>1051</v>
      </c>
      <c r="B99" s="7" t="s">
        <v>191</v>
      </c>
      <c r="C99" s="7" t="s">
        <v>180</v>
      </c>
      <c r="D99" s="7" t="s">
        <v>1052</v>
      </c>
      <c r="E99" s="7" t="s">
        <v>876</v>
      </c>
      <c r="F99" s="7" t="s">
        <v>848</v>
      </c>
      <c r="G99" s="7" t="s">
        <v>861</v>
      </c>
      <c r="H99" s="7" t="s">
        <v>855</v>
      </c>
    </row>
    <row r="100" customFormat="false" ht="15" hidden="false" customHeight="false" outlineLevel="0" collapsed="false">
      <c r="A100" s="7" t="s">
        <v>1053</v>
      </c>
      <c r="B100" s="7" t="s">
        <v>191</v>
      </c>
      <c r="C100" s="7" t="s">
        <v>180</v>
      </c>
      <c r="D100" s="7" t="s">
        <v>1054</v>
      </c>
      <c r="E100" s="7" t="s">
        <v>881</v>
      </c>
      <c r="F100" s="7" t="s">
        <v>858</v>
      </c>
      <c r="G100" s="7" t="s">
        <v>854</v>
      </c>
      <c r="H100" s="7" t="s">
        <v>850</v>
      </c>
    </row>
    <row r="101" customFormat="false" ht="15" hidden="false" customHeight="false" outlineLevel="0" collapsed="false">
      <c r="A101" s="7" t="s">
        <v>1055</v>
      </c>
      <c r="B101" s="7" t="s">
        <v>196</v>
      </c>
      <c r="C101" s="7" t="s">
        <v>180</v>
      </c>
      <c r="D101" s="7" t="s">
        <v>1056</v>
      </c>
      <c r="E101" s="7" t="s">
        <v>847</v>
      </c>
      <c r="F101" s="7" t="s">
        <v>867</v>
      </c>
      <c r="G101" s="7" t="s">
        <v>861</v>
      </c>
      <c r="H101" s="7" t="s">
        <v>862</v>
      </c>
    </row>
    <row r="102" customFormat="false" ht="15" hidden="false" customHeight="false" outlineLevel="0" collapsed="false">
      <c r="A102" s="7" t="s">
        <v>1057</v>
      </c>
      <c r="B102" s="7" t="s">
        <v>196</v>
      </c>
      <c r="C102" s="7" t="s">
        <v>180</v>
      </c>
      <c r="D102" s="7" t="s">
        <v>1058</v>
      </c>
      <c r="E102" s="7" t="s">
        <v>885</v>
      </c>
      <c r="F102" s="7" t="s">
        <v>867</v>
      </c>
      <c r="G102" s="7" t="s">
        <v>861</v>
      </c>
      <c r="H102" s="7" t="s">
        <v>862</v>
      </c>
    </row>
    <row r="103" customFormat="false" ht="15" hidden="false" customHeight="false" outlineLevel="0" collapsed="false">
      <c r="A103" s="7" t="s">
        <v>1059</v>
      </c>
      <c r="B103" s="7" t="s">
        <v>196</v>
      </c>
      <c r="C103" s="7" t="s">
        <v>180</v>
      </c>
      <c r="D103" s="7" t="s">
        <v>1060</v>
      </c>
      <c r="E103" s="7" t="s">
        <v>881</v>
      </c>
      <c r="F103" s="7" t="s">
        <v>867</v>
      </c>
      <c r="G103" s="7" t="s">
        <v>868</v>
      </c>
      <c r="H103" s="7" t="s">
        <v>850</v>
      </c>
    </row>
    <row r="104" customFormat="false" ht="15" hidden="false" customHeight="false" outlineLevel="0" collapsed="false">
      <c r="A104" s="7" t="s">
        <v>1061</v>
      </c>
      <c r="B104" s="7" t="s">
        <v>196</v>
      </c>
      <c r="C104" s="7" t="s">
        <v>180</v>
      </c>
      <c r="D104" s="7" t="s">
        <v>1062</v>
      </c>
      <c r="E104" s="7" t="s">
        <v>895</v>
      </c>
      <c r="F104" s="7" t="s">
        <v>848</v>
      </c>
      <c r="G104" s="7" t="s">
        <v>868</v>
      </c>
      <c r="H104" s="7" t="s">
        <v>855</v>
      </c>
    </row>
    <row r="105" customFormat="false" ht="15" hidden="false" customHeight="false" outlineLevel="0" collapsed="false">
      <c r="A105" s="7" t="s">
        <v>1063</v>
      </c>
      <c r="B105" s="7" t="s">
        <v>201</v>
      </c>
      <c r="C105" s="7" t="s">
        <v>180</v>
      </c>
      <c r="D105" s="7" t="s">
        <v>1064</v>
      </c>
      <c r="E105" s="7" t="s">
        <v>881</v>
      </c>
      <c r="F105" s="7" t="s">
        <v>867</v>
      </c>
      <c r="G105" s="7" t="s">
        <v>861</v>
      </c>
      <c r="H105" s="7" t="s">
        <v>862</v>
      </c>
    </row>
    <row r="106" customFormat="false" ht="15" hidden="false" customHeight="false" outlineLevel="0" collapsed="false">
      <c r="A106" s="7" t="s">
        <v>1065</v>
      </c>
      <c r="B106" s="7" t="s">
        <v>201</v>
      </c>
      <c r="C106" s="7" t="s">
        <v>180</v>
      </c>
      <c r="D106" s="7" t="s">
        <v>1066</v>
      </c>
      <c r="E106" s="7" t="s">
        <v>876</v>
      </c>
      <c r="F106" s="7" t="s">
        <v>867</v>
      </c>
      <c r="G106" s="7" t="s">
        <v>854</v>
      </c>
      <c r="H106" s="7" t="s">
        <v>855</v>
      </c>
    </row>
    <row r="107" customFormat="false" ht="15" hidden="false" customHeight="false" outlineLevel="0" collapsed="false">
      <c r="A107" s="7" t="s">
        <v>1067</v>
      </c>
      <c r="B107" s="7" t="s">
        <v>201</v>
      </c>
      <c r="C107" s="7" t="s">
        <v>180</v>
      </c>
      <c r="D107" s="7" t="s">
        <v>1068</v>
      </c>
      <c r="E107" s="7" t="s">
        <v>895</v>
      </c>
      <c r="F107" s="7" t="s">
        <v>848</v>
      </c>
      <c r="G107" s="7" t="s">
        <v>871</v>
      </c>
      <c r="H107" s="7" t="s">
        <v>862</v>
      </c>
    </row>
    <row r="108" customFormat="false" ht="15" hidden="false" customHeight="false" outlineLevel="0" collapsed="false">
      <c r="A108" s="7" t="s">
        <v>1069</v>
      </c>
      <c r="B108" s="7" t="s">
        <v>201</v>
      </c>
      <c r="C108" s="7" t="s">
        <v>180</v>
      </c>
      <c r="D108" s="7" t="s">
        <v>1070</v>
      </c>
      <c r="E108" s="7" t="s">
        <v>847</v>
      </c>
      <c r="F108" s="7" t="s">
        <v>858</v>
      </c>
      <c r="G108" s="7" t="s">
        <v>871</v>
      </c>
      <c r="H108" s="7" t="s">
        <v>850</v>
      </c>
    </row>
    <row r="109" customFormat="false" ht="15" hidden="false" customHeight="false" outlineLevel="0" collapsed="false">
      <c r="A109" s="7" t="s">
        <v>1071</v>
      </c>
      <c r="B109" s="7" t="s">
        <v>201</v>
      </c>
      <c r="C109" s="7" t="s">
        <v>180</v>
      </c>
      <c r="D109" s="7" t="s">
        <v>691</v>
      </c>
      <c r="E109" s="7" t="s">
        <v>885</v>
      </c>
      <c r="F109" s="7" t="s">
        <v>858</v>
      </c>
      <c r="G109" s="7" t="s">
        <v>871</v>
      </c>
      <c r="H109" s="7" t="s">
        <v>855</v>
      </c>
    </row>
    <row r="110" customFormat="false" ht="15" hidden="false" customHeight="false" outlineLevel="0" collapsed="false">
      <c r="A110" s="7" t="s">
        <v>1072</v>
      </c>
      <c r="B110" s="7" t="s">
        <v>206</v>
      </c>
      <c r="C110" s="7" t="s">
        <v>180</v>
      </c>
      <c r="D110" s="7" t="s">
        <v>923</v>
      </c>
      <c r="E110" s="7" t="s">
        <v>881</v>
      </c>
      <c r="F110" s="7" t="s">
        <v>858</v>
      </c>
      <c r="G110" s="7" t="s">
        <v>861</v>
      </c>
      <c r="H110" s="7" t="s">
        <v>855</v>
      </c>
    </row>
    <row r="111" customFormat="false" ht="15" hidden="false" customHeight="false" outlineLevel="0" collapsed="false">
      <c r="A111" s="7" t="s">
        <v>1073</v>
      </c>
      <c r="B111" s="7" t="s">
        <v>206</v>
      </c>
      <c r="C111" s="7" t="s">
        <v>180</v>
      </c>
      <c r="D111" s="7" t="s">
        <v>1074</v>
      </c>
      <c r="E111" s="7" t="s">
        <v>876</v>
      </c>
      <c r="F111" s="7" t="s">
        <v>858</v>
      </c>
      <c r="G111" s="7" t="s">
        <v>854</v>
      </c>
      <c r="H111" s="7" t="s">
        <v>855</v>
      </c>
    </row>
    <row r="112" customFormat="false" ht="15" hidden="false" customHeight="false" outlineLevel="0" collapsed="false">
      <c r="A112" s="7" t="s">
        <v>1075</v>
      </c>
      <c r="B112" s="7" t="s">
        <v>206</v>
      </c>
      <c r="C112" s="7" t="s">
        <v>180</v>
      </c>
      <c r="D112" s="7" t="s">
        <v>1076</v>
      </c>
      <c r="E112" s="7" t="s">
        <v>881</v>
      </c>
      <c r="F112" s="7" t="s">
        <v>848</v>
      </c>
      <c r="G112" s="7" t="s">
        <v>868</v>
      </c>
      <c r="H112" s="7" t="s">
        <v>862</v>
      </c>
    </row>
    <row r="113" customFormat="false" ht="15" hidden="false" customHeight="false" outlineLevel="0" collapsed="false">
      <c r="A113" s="7" t="s">
        <v>1077</v>
      </c>
      <c r="B113" s="7" t="s">
        <v>211</v>
      </c>
      <c r="C113" s="7" t="s">
        <v>180</v>
      </c>
      <c r="D113" s="7" t="s">
        <v>1078</v>
      </c>
      <c r="E113" s="7" t="s">
        <v>885</v>
      </c>
      <c r="F113" s="7" t="s">
        <v>848</v>
      </c>
      <c r="G113" s="7" t="s">
        <v>868</v>
      </c>
      <c r="H113" s="7" t="s">
        <v>882</v>
      </c>
    </row>
    <row r="114" customFormat="false" ht="15" hidden="false" customHeight="false" outlineLevel="0" collapsed="false">
      <c r="A114" s="7" t="s">
        <v>1079</v>
      </c>
      <c r="B114" s="7" t="s">
        <v>211</v>
      </c>
      <c r="C114" s="7" t="s">
        <v>180</v>
      </c>
      <c r="D114" s="7" t="s">
        <v>1080</v>
      </c>
      <c r="E114" s="7" t="s">
        <v>895</v>
      </c>
      <c r="F114" s="7" t="s">
        <v>848</v>
      </c>
      <c r="G114" s="7" t="s">
        <v>849</v>
      </c>
      <c r="H114" s="7" t="s">
        <v>862</v>
      </c>
    </row>
    <row r="115" customFormat="false" ht="15" hidden="false" customHeight="false" outlineLevel="0" collapsed="false">
      <c r="A115" s="7" t="s">
        <v>1081</v>
      </c>
      <c r="B115" s="7" t="s">
        <v>211</v>
      </c>
      <c r="C115" s="7" t="s">
        <v>180</v>
      </c>
      <c r="D115" s="7" t="s">
        <v>1082</v>
      </c>
      <c r="E115" s="7" t="s">
        <v>847</v>
      </c>
      <c r="F115" s="7" t="s">
        <v>858</v>
      </c>
      <c r="G115" s="7" t="s">
        <v>871</v>
      </c>
      <c r="H115" s="7" t="s">
        <v>850</v>
      </c>
    </row>
    <row r="116" customFormat="false" ht="15" hidden="false" customHeight="false" outlineLevel="0" collapsed="false">
      <c r="A116" s="7" t="s">
        <v>1083</v>
      </c>
      <c r="B116" s="7" t="s">
        <v>211</v>
      </c>
      <c r="C116" s="7" t="s">
        <v>180</v>
      </c>
      <c r="D116" s="7" t="s">
        <v>1084</v>
      </c>
      <c r="E116" s="7" t="s">
        <v>847</v>
      </c>
      <c r="F116" s="7" t="s">
        <v>848</v>
      </c>
      <c r="G116" s="7" t="s">
        <v>849</v>
      </c>
      <c r="H116" s="7" t="s">
        <v>855</v>
      </c>
    </row>
    <row r="117" customFormat="false" ht="15" hidden="false" customHeight="false" outlineLevel="0" collapsed="false">
      <c r="A117" s="7" t="s">
        <v>1085</v>
      </c>
      <c r="B117" s="7" t="s">
        <v>216</v>
      </c>
      <c r="C117" s="7" t="s">
        <v>221</v>
      </c>
      <c r="D117" s="7" t="s">
        <v>1086</v>
      </c>
      <c r="E117" s="7" t="s">
        <v>885</v>
      </c>
      <c r="F117" s="7" t="s">
        <v>858</v>
      </c>
      <c r="G117" s="7" t="s">
        <v>868</v>
      </c>
      <c r="H117" s="7" t="s">
        <v>850</v>
      </c>
    </row>
    <row r="118" customFormat="false" ht="15" hidden="false" customHeight="false" outlineLevel="0" collapsed="false">
      <c r="A118" s="7" t="s">
        <v>1087</v>
      </c>
      <c r="B118" s="7" t="s">
        <v>216</v>
      </c>
      <c r="C118" s="7" t="s">
        <v>221</v>
      </c>
      <c r="D118" s="7" t="s">
        <v>1088</v>
      </c>
      <c r="E118" s="7" t="s">
        <v>847</v>
      </c>
      <c r="F118" s="7" t="s">
        <v>867</v>
      </c>
      <c r="G118" s="7" t="s">
        <v>868</v>
      </c>
      <c r="H118" s="7" t="s">
        <v>862</v>
      </c>
    </row>
    <row r="119" customFormat="false" ht="15" hidden="false" customHeight="false" outlineLevel="0" collapsed="false">
      <c r="A119" s="7" t="s">
        <v>1089</v>
      </c>
      <c r="B119" s="7" t="s">
        <v>216</v>
      </c>
      <c r="C119" s="7" t="s">
        <v>221</v>
      </c>
      <c r="D119" s="7" t="s">
        <v>1090</v>
      </c>
      <c r="E119" s="7" t="s">
        <v>895</v>
      </c>
      <c r="F119" s="7" t="s">
        <v>858</v>
      </c>
      <c r="G119" s="7" t="s">
        <v>854</v>
      </c>
      <c r="H119" s="7" t="s">
        <v>862</v>
      </c>
    </row>
    <row r="120" customFormat="false" ht="15" hidden="false" customHeight="false" outlineLevel="0" collapsed="false">
      <c r="A120" s="7" t="s">
        <v>1091</v>
      </c>
      <c r="B120" s="7" t="s">
        <v>222</v>
      </c>
      <c r="C120" s="7" t="s">
        <v>221</v>
      </c>
      <c r="D120" s="7" t="s">
        <v>1092</v>
      </c>
      <c r="E120" s="7" t="s">
        <v>885</v>
      </c>
      <c r="F120" s="7" t="s">
        <v>858</v>
      </c>
      <c r="G120" s="7" t="s">
        <v>871</v>
      </c>
      <c r="H120" s="7" t="s">
        <v>882</v>
      </c>
    </row>
    <row r="121" customFormat="false" ht="15" hidden="false" customHeight="false" outlineLevel="0" collapsed="false">
      <c r="A121" s="7" t="s">
        <v>1093</v>
      </c>
      <c r="B121" s="7" t="s">
        <v>222</v>
      </c>
      <c r="C121" s="7" t="s">
        <v>221</v>
      </c>
      <c r="D121" s="7" t="s">
        <v>939</v>
      </c>
      <c r="E121" s="7" t="s">
        <v>847</v>
      </c>
      <c r="F121" s="7" t="s">
        <v>858</v>
      </c>
      <c r="G121" s="7" t="s">
        <v>871</v>
      </c>
      <c r="H121" s="7" t="s">
        <v>855</v>
      </c>
    </row>
    <row r="122" customFormat="false" ht="15" hidden="false" customHeight="false" outlineLevel="0" collapsed="false">
      <c r="A122" s="7" t="s">
        <v>1094</v>
      </c>
      <c r="B122" s="7" t="s">
        <v>222</v>
      </c>
      <c r="C122" s="7" t="s">
        <v>221</v>
      </c>
      <c r="D122" s="7" t="s">
        <v>1095</v>
      </c>
      <c r="E122" s="7" t="s">
        <v>876</v>
      </c>
      <c r="F122" s="7" t="s">
        <v>848</v>
      </c>
      <c r="G122" s="7" t="s">
        <v>871</v>
      </c>
      <c r="H122" s="7" t="s">
        <v>862</v>
      </c>
    </row>
    <row r="123" customFormat="false" ht="15" hidden="false" customHeight="false" outlineLevel="0" collapsed="false">
      <c r="A123" s="7" t="s">
        <v>1096</v>
      </c>
      <c r="B123" s="7" t="s">
        <v>227</v>
      </c>
      <c r="C123" s="7" t="s">
        <v>221</v>
      </c>
      <c r="D123" s="7" t="s">
        <v>1097</v>
      </c>
      <c r="E123" s="7" t="s">
        <v>885</v>
      </c>
      <c r="F123" s="7" t="s">
        <v>848</v>
      </c>
      <c r="G123" s="7" t="s">
        <v>871</v>
      </c>
      <c r="H123" s="7" t="s">
        <v>882</v>
      </c>
    </row>
    <row r="124" customFormat="false" ht="15" hidden="false" customHeight="false" outlineLevel="0" collapsed="false">
      <c r="A124" s="7" t="s">
        <v>1098</v>
      </c>
      <c r="B124" s="7" t="s">
        <v>227</v>
      </c>
      <c r="C124" s="7" t="s">
        <v>221</v>
      </c>
      <c r="D124" s="7" t="s">
        <v>1099</v>
      </c>
      <c r="E124" s="7" t="s">
        <v>885</v>
      </c>
      <c r="F124" s="7" t="s">
        <v>848</v>
      </c>
      <c r="G124" s="7" t="s">
        <v>871</v>
      </c>
      <c r="H124" s="7" t="s">
        <v>862</v>
      </c>
    </row>
    <row r="125" customFormat="false" ht="15" hidden="false" customHeight="false" outlineLevel="0" collapsed="false">
      <c r="A125" s="7" t="s">
        <v>1100</v>
      </c>
      <c r="B125" s="7" t="s">
        <v>227</v>
      </c>
      <c r="C125" s="7" t="s">
        <v>221</v>
      </c>
      <c r="D125" s="7" t="s">
        <v>1101</v>
      </c>
      <c r="E125" s="7" t="s">
        <v>885</v>
      </c>
      <c r="F125" s="7" t="s">
        <v>858</v>
      </c>
      <c r="G125" s="7" t="s">
        <v>861</v>
      </c>
      <c r="H125" s="7" t="s">
        <v>855</v>
      </c>
    </row>
    <row r="126" customFormat="false" ht="15" hidden="false" customHeight="false" outlineLevel="0" collapsed="false">
      <c r="A126" s="7" t="s">
        <v>1102</v>
      </c>
      <c r="B126" s="7" t="s">
        <v>227</v>
      </c>
      <c r="C126" s="7" t="s">
        <v>221</v>
      </c>
      <c r="D126" s="7" t="s">
        <v>1103</v>
      </c>
      <c r="E126" s="7" t="s">
        <v>881</v>
      </c>
      <c r="F126" s="7" t="s">
        <v>848</v>
      </c>
      <c r="G126" s="7" t="s">
        <v>868</v>
      </c>
      <c r="H126" s="7" t="s">
        <v>882</v>
      </c>
    </row>
    <row r="127" customFormat="false" ht="15" hidden="false" customHeight="false" outlineLevel="0" collapsed="false">
      <c r="A127" s="7" t="s">
        <v>1104</v>
      </c>
      <c r="B127" s="7" t="s">
        <v>227</v>
      </c>
      <c r="C127" s="7" t="s">
        <v>221</v>
      </c>
      <c r="D127" s="7" t="s">
        <v>1105</v>
      </c>
      <c r="E127" s="7" t="s">
        <v>885</v>
      </c>
      <c r="F127" s="7" t="s">
        <v>858</v>
      </c>
      <c r="G127" s="7" t="s">
        <v>861</v>
      </c>
      <c r="H127" s="7" t="s">
        <v>850</v>
      </c>
    </row>
    <row r="128" customFormat="false" ht="15" hidden="false" customHeight="false" outlineLevel="0" collapsed="false">
      <c r="A128" s="7" t="s">
        <v>1106</v>
      </c>
      <c r="B128" s="7" t="s">
        <v>232</v>
      </c>
      <c r="C128" s="7" t="s">
        <v>221</v>
      </c>
      <c r="D128" s="7" t="s">
        <v>1107</v>
      </c>
      <c r="E128" s="7" t="s">
        <v>853</v>
      </c>
      <c r="F128" s="7" t="s">
        <v>858</v>
      </c>
      <c r="G128" s="7" t="s">
        <v>868</v>
      </c>
      <c r="H128" s="7" t="s">
        <v>862</v>
      </c>
    </row>
    <row r="129" customFormat="false" ht="15" hidden="false" customHeight="false" outlineLevel="0" collapsed="false">
      <c r="A129" s="7" t="s">
        <v>1108</v>
      </c>
      <c r="B129" s="7" t="s">
        <v>232</v>
      </c>
      <c r="C129" s="7" t="s">
        <v>221</v>
      </c>
      <c r="D129" s="7" t="s">
        <v>1109</v>
      </c>
      <c r="E129" s="7" t="s">
        <v>853</v>
      </c>
      <c r="F129" s="7" t="s">
        <v>867</v>
      </c>
      <c r="G129" s="7" t="s">
        <v>871</v>
      </c>
      <c r="H129" s="7" t="s">
        <v>855</v>
      </c>
    </row>
    <row r="130" customFormat="false" ht="15" hidden="false" customHeight="false" outlineLevel="0" collapsed="false">
      <c r="A130" s="7" t="s">
        <v>1110</v>
      </c>
      <c r="B130" s="7" t="s">
        <v>237</v>
      </c>
      <c r="C130" s="7" t="s">
        <v>221</v>
      </c>
      <c r="D130" s="7" t="s">
        <v>1111</v>
      </c>
      <c r="E130" s="7" t="s">
        <v>847</v>
      </c>
      <c r="F130" s="7" t="s">
        <v>848</v>
      </c>
      <c r="G130" s="7" t="s">
        <v>854</v>
      </c>
      <c r="H130" s="7" t="s">
        <v>882</v>
      </c>
    </row>
    <row r="131" customFormat="false" ht="15" hidden="false" customHeight="false" outlineLevel="0" collapsed="false">
      <c r="A131" s="7" t="s">
        <v>1112</v>
      </c>
      <c r="B131" s="7" t="s">
        <v>237</v>
      </c>
      <c r="C131" s="7" t="s">
        <v>221</v>
      </c>
      <c r="D131" s="7" t="s">
        <v>1113</v>
      </c>
      <c r="E131" s="7" t="s">
        <v>895</v>
      </c>
      <c r="F131" s="7" t="s">
        <v>867</v>
      </c>
      <c r="G131" s="7" t="s">
        <v>854</v>
      </c>
      <c r="H131" s="7" t="s">
        <v>862</v>
      </c>
    </row>
    <row r="132" customFormat="false" ht="15" hidden="false" customHeight="false" outlineLevel="0" collapsed="false">
      <c r="A132" s="7" t="s">
        <v>1114</v>
      </c>
      <c r="B132" s="7" t="s">
        <v>242</v>
      </c>
      <c r="C132" s="7" t="s">
        <v>221</v>
      </c>
      <c r="D132" s="7" t="s">
        <v>1115</v>
      </c>
      <c r="E132" s="7" t="s">
        <v>881</v>
      </c>
      <c r="F132" s="7" t="s">
        <v>867</v>
      </c>
      <c r="G132" s="7" t="s">
        <v>854</v>
      </c>
      <c r="H132" s="7" t="s">
        <v>882</v>
      </c>
    </row>
    <row r="133" customFormat="false" ht="15" hidden="false" customHeight="false" outlineLevel="0" collapsed="false">
      <c r="A133" s="7" t="s">
        <v>1116</v>
      </c>
      <c r="B133" s="7" t="s">
        <v>242</v>
      </c>
      <c r="C133" s="7" t="s">
        <v>221</v>
      </c>
      <c r="D133" s="7" t="s">
        <v>1117</v>
      </c>
      <c r="E133" s="7" t="s">
        <v>853</v>
      </c>
      <c r="F133" s="7" t="s">
        <v>858</v>
      </c>
      <c r="G133" s="7" t="s">
        <v>854</v>
      </c>
      <c r="H133" s="7" t="s">
        <v>855</v>
      </c>
    </row>
    <row r="134" customFormat="false" ht="15" hidden="false" customHeight="false" outlineLevel="0" collapsed="false">
      <c r="A134" s="7" t="s">
        <v>1118</v>
      </c>
      <c r="B134" s="7" t="s">
        <v>242</v>
      </c>
      <c r="C134" s="7" t="s">
        <v>221</v>
      </c>
      <c r="D134" s="7" t="s">
        <v>1119</v>
      </c>
      <c r="E134" s="7" t="s">
        <v>853</v>
      </c>
      <c r="F134" s="7" t="s">
        <v>848</v>
      </c>
      <c r="G134" s="7" t="s">
        <v>861</v>
      </c>
      <c r="H134" s="7" t="s">
        <v>855</v>
      </c>
    </row>
    <row r="135" customFormat="false" ht="15" hidden="false" customHeight="false" outlineLevel="0" collapsed="false">
      <c r="A135" s="7" t="s">
        <v>1120</v>
      </c>
      <c r="B135" s="7" t="s">
        <v>242</v>
      </c>
      <c r="C135" s="7" t="s">
        <v>221</v>
      </c>
      <c r="D135" s="7" t="s">
        <v>1121</v>
      </c>
      <c r="E135" s="7" t="s">
        <v>847</v>
      </c>
      <c r="F135" s="7" t="s">
        <v>867</v>
      </c>
      <c r="G135" s="7" t="s">
        <v>849</v>
      </c>
      <c r="H135" s="7" t="s">
        <v>862</v>
      </c>
    </row>
    <row r="136" customFormat="false" ht="15" hidden="false" customHeight="false" outlineLevel="0" collapsed="false">
      <c r="A136" s="7" t="s">
        <v>1122</v>
      </c>
      <c r="B136" s="7" t="s">
        <v>247</v>
      </c>
      <c r="C136" s="7" t="s">
        <v>221</v>
      </c>
      <c r="D136" s="7" t="s">
        <v>1123</v>
      </c>
      <c r="E136" s="7" t="s">
        <v>885</v>
      </c>
      <c r="F136" s="7" t="s">
        <v>867</v>
      </c>
      <c r="G136" s="7" t="s">
        <v>849</v>
      </c>
      <c r="H136" s="7" t="s">
        <v>882</v>
      </c>
    </row>
    <row r="137" customFormat="false" ht="15" hidden="false" customHeight="false" outlineLevel="0" collapsed="false">
      <c r="A137" s="7" t="s">
        <v>1124</v>
      </c>
      <c r="B137" s="7" t="s">
        <v>247</v>
      </c>
      <c r="C137" s="7" t="s">
        <v>221</v>
      </c>
      <c r="D137" s="7" t="s">
        <v>1125</v>
      </c>
      <c r="E137" s="7" t="s">
        <v>853</v>
      </c>
      <c r="F137" s="7" t="s">
        <v>848</v>
      </c>
      <c r="G137" s="7" t="s">
        <v>854</v>
      </c>
      <c r="H137" s="7" t="s">
        <v>862</v>
      </c>
    </row>
    <row r="138" customFormat="false" ht="15" hidden="false" customHeight="false" outlineLevel="0" collapsed="false">
      <c r="A138" s="7" t="s">
        <v>1126</v>
      </c>
      <c r="B138" s="7" t="s">
        <v>247</v>
      </c>
      <c r="C138" s="7" t="s">
        <v>221</v>
      </c>
      <c r="D138" s="7" t="s">
        <v>1127</v>
      </c>
      <c r="E138" s="7" t="s">
        <v>881</v>
      </c>
      <c r="F138" s="7" t="s">
        <v>848</v>
      </c>
      <c r="G138" s="7" t="s">
        <v>868</v>
      </c>
      <c r="H138" s="7" t="s">
        <v>855</v>
      </c>
    </row>
    <row r="139" customFormat="false" ht="15" hidden="false" customHeight="false" outlineLevel="0" collapsed="false">
      <c r="A139" s="7" t="s">
        <v>1128</v>
      </c>
      <c r="B139" s="7" t="s">
        <v>252</v>
      </c>
      <c r="C139" s="7" t="s">
        <v>221</v>
      </c>
      <c r="D139" s="7" t="s">
        <v>1129</v>
      </c>
      <c r="E139" s="7" t="s">
        <v>895</v>
      </c>
      <c r="F139" s="7" t="s">
        <v>867</v>
      </c>
      <c r="G139" s="7" t="s">
        <v>854</v>
      </c>
      <c r="H139" s="7" t="s">
        <v>862</v>
      </c>
    </row>
    <row r="140" customFormat="false" ht="15" hidden="false" customHeight="false" outlineLevel="0" collapsed="false">
      <c r="A140" s="7" t="s">
        <v>1130</v>
      </c>
      <c r="B140" s="7" t="s">
        <v>252</v>
      </c>
      <c r="C140" s="7" t="s">
        <v>221</v>
      </c>
      <c r="D140" s="7" t="s">
        <v>1131</v>
      </c>
      <c r="E140" s="7" t="s">
        <v>881</v>
      </c>
      <c r="F140" s="7" t="s">
        <v>858</v>
      </c>
      <c r="G140" s="7" t="s">
        <v>871</v>
      </c>
      <c r="H140" s="7" t="s">
        <v>882</v>
      </c>
    </row>
    <row r="141" customFormat="false" ht="15" hidden="false" customHeight="false" outlineLevel="0" collapsed="false">
      <c r="A141" s="7" t="s">
        <v>1132</v>
      </c>
      <c r="B141" s="7" t="s">
        <v>252</v>
      </c>
      <c r="C141" s="7" t="s">
        <v>221</v>
      </c>
      <c r="D141" s="7" t="s">
        <v>1133</v>
      </c>
      <c r="E141" s="7" t="s">
        <v>847</v>
      </c>
      <c r="F141" s="7" t="s">
        <v>867</v>
      </c>
      <c r="G141" s="7" t="s">
        <v>861</v>
      </c>
      <c r="H141" s="7" t="s">
        <v>862</v>
      </c>
    </row>
    <row r="142" customFormat="false" ht="15" hidden="false" customHeight="false" outlineLevel="0" collapsed="false">
      <c r="A142" s="7" t="s">
        <v>1134</v>
      </c>
      <c r="B142" s="7" t="s">
        <v>252</v>
      </c>
      <c r="C142" s="7" t="s">
        <v>221</v>
      </c>
      <c r="D142" s="7" t="s">
        <v>1135</v>
      </c>
      <c r="E142" s="7" t="s">
        <v>853</v>
      </c>
      <c r="F142" s="7" t="s">
        <v>858</v>
      </c>
      <c r="G142" s="7" t="s">
        <v>849</v>
      </c>
      <c r="H142" s="7" t="s">
        <v>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20"/>
  </cols>
  <sheetData>
    <row r="1" customFormat="false" ht="17.35" hidden="false" customHeight="false" outlineLevel="0" collapsed="false">
      <c r="B1" s="1" t="s">
        <v>5</v>
      </c>
    </row>
    <row r="3" customFormat="false" ht="15" hidden="false" customHeight="false" outlineLevel="0" collapsed="false">
      <c r="A3" s="6" t="s">
        <v>839</v>
      </c>
      <c r="B3" s="6" t="s">
        <v>7</v>
      </c>
      <c r="C3" s="6" t="s">
        <v>840</v>
      </c>
      <c r="D3" s="6" t="s">
        <v>841</v>
      </c>
      <c r="E3" s="6" t="s">
        <v>842</v>
      </c>
      <c r="F3" s="6" t="s">
        <v>843</v>
      </c>
      <c r="G3" s="6" t="s">
        <v>844</v>
      </c>
    </row>
    <row r="4" customFormat="false" ht="15" hidden="false" customHeight="false" outlineLevel="0" collapsed="false">
      <c r="A4" s="7" t="s">
        <v>845</v>
      </c>
      <c r="B4" s="7" t="s">
        <v>45</v>
      </c>
      <c r="C4" s="7" t="s">
        <v>846</v>
      </c>
      <c r="D4" s="7" t="s">
        <v>847</v>
      </c>
      <c r="E4" s="7" t="s">
        <v>848</v>
      </c>
      <c r="F4" s="7" t="s">
        <v>849</v>
      </c>
      <c r="G4" s="7" t="s">
        <v>850</v>
      </c>
    </row>
    <row r="5" customFormat="false" ht="15" hidden="false" customHeight="false" outlineLevel="0" collapsed="false">
      <c r="A5" s="7" t="s">
        <v>851</v>
      </c>
      <c r="B5" s="7" t="s">
        <v>45</v>
      </c>
      <c r="C5" s="7" t="s">
        <v>852</v>
      </c>
      <c r="D5" s="7" t="s">
        <v>853</v>
      </c>
      <c r="E5" s="7" t="s">
        <v>848</v>
      </c>
      <c r="F5" s="7" t="s">
        <v>854</v>
      </c>
      <c r="G5" s="7" t="s">
        <v>855</v>
      </c>
    </row>
    <row r="6" customFormat="false" ht="15" hidden="false" customHeight="false" outlineLevel="0" collapsed="false">
      <c r="A6" s="7" t="s">
        <v>856</v>
      </c>
      <c r="B6" s="7" t="s">
        <v>45</v>
      </c>
      <c r="C6" s="7" t="s">
        <v>857</v>
      </c>
      <c r="D6" s="7" t="s">
        <v>853</v>
      </c>
      <c r="E6" s="7" t="s">
        <v>858</v>
      </c>
      <c r="F6" s="7" t="s">
        <v>849</v>
      </c>
      <c r="G6" s="7" t="s">
        <v>850</v>
      </c>
    </row>
    <row r="7" customFormat="false" ht="15" hidden="false" customHeight="false" outlineLevel="0" collapsed="false">
      <c r="A7" s="7" t="s">
        <v>859</v>
      </c>
      <c r="B7" s="7" t="s">
        <v>45</v>
      </c>
      <c r="C7" s="7" t="s">
        <v>860</v>
      </c>
      <c r="D7" s="7" t="s">
        <v>847</v>
      </c>
      <c r="E7" s="7" t="s">
        <v>848</v>
      </c>
      <c r="F7" s="7" t="s">
        <v>861</v>
      </c>
      <c r="G7" s="7" t="s">
        <v>862</v>
      </c>
    </row>
    <row r="8" customFormat="false" ht="15" hidden="false" customHeight="false" outlineLevel="0" collapsed="false">
      <c r="A8" s="7" t="s">
        <v>863</v>
      </c>
      <c r="B8" s="7" t="s">
        <v>45</v>
      </c>
      <c r="C8" s="7" t="s">
        <v>864</v>
      </c>
      <c r="D8" s="7" t="s">
        <v>847</v>
      </c>
      <c r="E8" s="7" t="s">
        <v>848</v>
      </c>
      <c r="F8" s="7" t="s">
        <v>854</v>
      </c>
      <c r="G8" s="7" t="s">
        <v>862</v>
      </c>
    </row>
    <row r="9" customFormat="false" ht="15" hidden="false" customHeight="false" outlineLevel="0" collapsed="false">
      <c r="A9" s="7" t="s">
        <v>865</v>
      </c>
      <c r="B9" s="7" t="s">
        <v>53</v>
      </c>
      <c r="C9" s="7" t="s">
        <v>866</v>
      </c>
      <c r="D9" s="7" t="s">
        <v>853</v>
      </c>
      <c r="E9" s="7" t="s">
        <v>867</v>
      </c>
      <c r="F9" s="7" t="s">
        <v>868</v>
      </c>
      <c r="G9" s="7" t="s">
        <v>850</v>
      </c>
    </row>
    <row r="10" customFormat="false" ht="15" hidden="false" customHeight="false" outlineLevel="0" collapsed="false">
      <c r="A10" s="7" t="s">
        <v>869</v>
      </c>
      <c r="B10" s="7" t="s">
        <v>53</v>
      </c>
      <c r="C10" s="7" t="s">
        <v>870</v>
      </c>
      <c r="D10" s="7" t="s">
        <v>847</v>
      </c>
      <c r="E10" s="7" t="s">
        <v>858</v>
      </c>
      <c r="F10" s="7" t="s">
        <v>871</v>
      </c>
      <c r="G10" s="7" t="s">
        <v>855</v>
      </c>
    </row>
    <row r="11" customFormat="false" ht="15" hidden="false" customHeight="false" outlineLevel="0" collapsed="false">
      <c r="A11" s="7" t="s">
        <v>872</v>
      </c>
      <c r="B11" s="7" t="s">
        <v>53</v>
      </c>
      <c r="C11" s="7" t="s">
        <v>873</v>
      </c>
      <c r="D11" s="7" t="s">
        <v>853</v>
      </c>
      <c r="E11" s="7" t="s">
        <v>858</v>
      </c>
      <c r="F11" s="7" t="s">
        <v>871</v>
      </c>
      <c r="G11" s="7" t="s">
        <v>855</v>
      </c>
    </row>
    <row r="12" customFormat="false" ht="15" hidden="false" customHeight="false" outlineLevel="0" collapsed="false">
      <c r="A12" s="7" t="s">
        <v>874</v>
      </c>
      <c r="B12" s="7" t="s">
        <v>53</v>
      </c>
      <c r="C12" s="7" t="s">
        <v>875</v>
      </c>
      <c r="D12" s="7" t="s">
        <v>876</v>
      </c>
      <c r="E12" s="7" t="s">
        <v>867</v>
      </c>
      <c r="F12" s="7" t="s">
        <v>871</v>
      </c>
      <c r="G12" s="7" t="s">
        <v>855</v>
      </c>
    </row>
    <row r="13" customFormat="false" ht="15" hidden="false" customHeight="false" outlineLevel="0" collapsed="false">
      <c r="A13" s="7" t="s">
        <v>877</v>
      </c>
      <c r="B13" s="7" t="s">
        <v>61</v>
      </c>
      <c r="C13" s="7" t="s">
        <v>878</v>
      </c>
      <c r="D13" s="7" t="s">
        <v>853</v>
      </c>
      <c r="E13" s="7" t="s">
        <v>867</v>
      </c>
      <c r="F13" s="7" t="s">
        <v>861</v>
      </c>
      <c r="G13" s="7" t="s">
        <v>850</v>
      </c>
    </row>
    <row r="14" customFormat="false" ht="15" hidden="false" customHeight="false" outlineLevel="0" collapsed="false">
      <c r="A14" s="7" t="s">
        <v>879</v>
      </c>
      <c r="B14" s="7" t="s">
        <v>61</v>
      </c>
      <c r="C14" s="7" t="s">
        <v>880</v>
      </c>
      <c r="D14" s="7" t="s">
        <v>881</v>
      </c>
      <c r="E14" s="7" t="s">
        <v>858</v>
      </c>
      <c r="F14" s="7" t="s">
        <v>871</v>
      </c>
      <c r="G14" s="7" t="s">
        <v>882</v>
      </c>
    </row>
    <row r="15" customFormat="false" ht="15" hidden="false" customHeight="false" outlineLevel="0" collapsed="false">
      <c r="A15" s="7" t="s">
        <v>883</v>
      </c>
      <c r="B15" s="7" t="s">
        <v>61</v>
      </c>
      <c r="C15" s="7" t="s">
        <v>884</v>
      </c>
      <c r="D15" s="7" t="s">
        <v>885</v>
      </c>
      <c r="E15" s="7" t="s">
        <v>848</v>
      </c>
      <c r="F15" s="7" t="s">
        <v>854</v>
      </c>
      <c r="G15" s="7" t="s">
        <v>882</v>
      </c>
    </row>
    <row r="16" customFormat="false" ht="15" hidden="false" customHeight="false" outlineLevel="0" collapsed="false">
      <c r="A16" s="7" t="s">
        <v>886</v>
      </c>
      <c r="B16" s="7" t="s">
        <v>61</v>
      </c>
      <c r="C16" s="7" t="s">
        <v>779</v>
      </c>
      <c r="D16" s="7" t="s">
        <v>847</v>
      </c>
      <c r="E16" s="7" t="s">
        <v>848</v>
      </c>
      <c r="F16" s="7" t="s">
        <v>861</v>
      </c>
      <c r="G16" s="7" t="s">
        <v>850</v>
      </c>
    </row>
    <row r="17" customFormat="false" ht="15" hidden="false" customHeight="false" outlineLevel="0" collapsed="false">
      <c r="A17" s="7" t="s">
        <v>887</v>
      </c>
      <c r="B17" s="7" t="s">
        <v>61</v>
      </c>
      <c r="C17" s="7" t="s">
        <v>888</v>
      </c>
      <c r="D17" s="7" t="s">
        <v>853</v>
      </c>
      <c r="E17" s="7" t="s">
        <v>858</v>
      </c>
      <c r="F17" s="7" t="s">
        <v>871</v>
      </c>
      <c r="G17" s="7" t="s">
        <v>862</v>
      </c>
    </row>
    <row r="18" customFormat="false" ht="15" hidden="false" customHeight="false" outlineLevel="0" collapsed="false">
      <c r="A18" s="7" t="s">
        <v>889</v>
      </c>
      <c r="B18" s="7" t="s">
        <v>67</v>
      </c>
      <c r="C18" s="7" t="s">
        <v>890</v>
      </c>
      <c r="D18" s="7" t="s">
        <v>847</v>
      </c>
      <c r="E18" s="7" t="s">
        <v>848</v>
      </c>
      <c r="F18" s="7" t="s">
        <v>849</v>
      </c>
      <c r="G18" s="7" t="s">
        <v>882</v>
      </c>
    </row>
    <row r="19" customFormat="false" ht="15" hidden="false" customHeight="false" outlineLevel="0" collapsed="false">
      <c r="A19" s="7" t="s">
        <v>891</v>
      </c>
      <c r="B19" s="7" t="s">
        <v>67</v>
      </c>
      <c r="C19" s="7" t="s">
        <v>892</v>
      </c>
      <c r="D19" s="7" t="s">
        <v>881</v>
      </c>
      <c r="E19" s="7" t="s">
        <v>858</v>
      </c>
      <c r="F19" s="7" t="s">
        <v>861</v>
      </c>
      <c r="G19" s="7" t="s">
        <v>850</v>
      </c>
    </row>
    <row r="20" customFormat="false" ht="15" hidden="false" customHeight="false" outlineLevel="0" collapsed="false">
      <c r="A20" s="7" t="s">
        <v>893</v>
      </c>
      <c r="B20" s="7" t="s">
        <v>67</v>
      </c>
      <c r="C20" s="7" t="s">
        <v>894</v>
      </c>
      <c r="D20" s="7" t="s">
        <v>895</v>
      </c>
      <c r="E20" s="7" t="s">
        <v>858</v>
      </c>
      <c r="F20" s="7" t="s">
        <v>861</v>
      </c>
      <c r="G20" s="7" t="s">
        <v>862</v>
      </c>
    </row>
    <row r="21" customFormat="false" ht="15" hidden="false" customHeight="false" outlineLevel="0" collapsed="false">
      <c r="A21" s="7" t="s">
        <v>896</v>
      </c>
      <c r="B21" s="7" t="s">
        <v>73</v>
      </c>
      <c r="C21" s="7" t="s">
        <v>897</v>
      </c>
      <c r="D21" s="7" t="s">
        <v>881</v>
      </c>
      <c r="E21" s="7" t="s">
        <v>848</v>
      </c>
      <c r="F21" s="7" t="s">
        <v>854</v>
      </c>
      <c r="G21" s="7" t="s">
        <v>855</v>
      </c>
    </row>
    <row r="22" customFormat="false" ht="15" hidden="false" customHeight="false" outlineLevel="0" collapsed="false">
      <c r="A22" s="7" t="s">
        <v>898</v>
      </c>
      <c r="B22" s="7" t="s">
        <v>73</v>
      </c>
      <c r="C22" s="7" t="s">
        <v>899</v>
      </c>
      <c r="D22" s="7" t="s">
        <v>881</v>
      </c>
      <c r="E22" s="7" t="s">
        <v>848</v>
      </c>
      <c r="F22" s="7" t="s">
        <v>868</v>
      </c>
      <c r="G22" s="7" t="s">
        <v>862</v>
      </c>
    </row>
    <row r="23" customFormat="false" ht="15" hidden="false" customHeight="false" outlineLevel="0" collapsed="false">
      <c r="A23" s="7" t="s">
        <v>900</v>
      </c>
      <c r="B23" s="7" t="s">
        <v>78</v>
      </c>
      <c r="C23" s="7" t="s">
        <v>901</v>
      </c>
      <c r="D23" s="7" t="s">
        <v>881</v>
      </c>
      <c r="E23" s="7" t="s">
        <v>867</v>
      </c>
      <c r="F23" s="7" t="s">
        <v>871</v>
      </c>
      <c r="G23" s="7" t="s">
        <v>862</v>
      </c>
    </row>
    <row r="24" customFormat="false" ht="15" hidden="false" customHeight="false" outlineLevel="0" collapsed="false">
      <c r="A24" s="7" t="s">
        <v>902</v>
      </c>
      <c r="B24" s="7" t="s">
        <v>78</v>
      </c>
      <c r="C24" s="7" t="s">
        <v>903</v>
      </c>
      <c r="D24" s="7" t="s">
        <v>881</v>
      </c>
      <c r="E24" s="7" t="s">
        <v>858</v>
      </c>
      <c r="F24" s="7" t="s">
        <v>854</v>
      </c>
      <c r="G24" s="7" t="s">
        <v>855</v>
      </c>
    </row>
    <row r="25" customFormat="false" ht="15" hidden="false" customHeight="false" outlineLevel="0" collapsed="false">
      <c r="A25" s="7" t="s">
        <v>904</v>
      </c>
      <c r="B25" s="7" t="s">
        <v>78</v>
      </c>
      <c r="C25" s="7" t="s">
        <v>905</v>
      </c>
      <c r="D25" s="7" t="s">
        <v>853</v>
      </c>
      <c r="E25" s="7" t="s">
        <v>858</v>
      </c>
      <c r="F25" s="7" t="s">
        <v>854</v>
      </c>
      <c r="G25" s="7" t="s">
        <v>855</v>
      </c>
    </row>
    <row r="26" customFormat="false" ht="15" hidden="false" customHeight="false" outlineLevel="0" collapsed="false">
      <c r="A26" s="7" t="s">
        <v>906</v>
      </c>
      <c r="B26" s="7" t="s">
        <v>78</v>
      </c>
      <c r="C26" s="7" t="s">
        <v>907</v>
      </c>
      <c r="D26" s="7" t="s">
        <v>881</v>
      </c>
      <c r="E26" s="7" t="s">
        <v>867</v>
      </c>
      <c r="F26" s="7" t="s">
        <v>861</v>
      </c>
      <c r="G26" s="7" t="s">
        <v>850</v>
      </c>
    </row>
    <row r="27" customFormat="false" ht="15" hidden="false" customHeight="false" outlineLevel="0" collapsed="false">
      <c r="A27" s="7" t="s">
        <v>908</v>
      </c>
      <c r="B27" s="7" t="s">
        <v>78</v>
      </c>
      <c r="C27" s="7" t="s">
        <v>909</v>
      </c>
      <c r="D27" s="7" t="s">
        <v>881</v>
      </c>
      <c r="E27" s="7" t="s">
        <v>858</v>
      </c>
      <c r="F27" s="7" t="s">
        <v>854</v>
      </c>
      <c r="G27" s="7" t="s">
        <v>850</v>
      </c>
    </row>
    <row r="28" customFormat="false" ht="15" hidden="false" customHeight="false" outlineLevel="0" collapsed="false">
      <c r="A28" s="7" t="s">
        <v>910</v>
      </c>
      <c r="B28" s="7" t="s">
        <v>83</v>
      </c>
      <c r="C28" s="7" t="s">
        <v>911</v>
      </c>
      <c r="D28" s="7" t="s">
        <v>885</v>
      </c>
      <c r="E28" s="7" t="s">
        <v>858</v>
      </c>
      <c r="F28" s="7" t="s">
        <v>854</v>
      </c>
      <c r="G28" s="7" t="s">
        <v>855</v>
      </c>
    </row>
    <row r="29" customFormat="false" ht="15" hidden="false" customHeight="false" outlineLevel="0" collapsed="false">
      <c r="A29" s="7" t="s">
        <v>912</v>
      </c>
      <c r="B29" s="7" t="s">
        <v>83</v>
      </c>
      <c r="C29" s="7" t="s">
        <v>913</v>
      </c>
      <c r="D29" s="7" t="s">
        <v>895</v>
      </c>
      <c r="E29" s="7" t="s">
        <v>867</v>
      </c>
      <c r="F29" s="7" t="s">
        <v>854</v>
      </c>
      <c r="G29" s="7" t="s">
        <v>850</v>
      </c>
    </row>
    <row r="30" customFormat="false" ht="15" hidden="false" customHeight="false" outlineLevel="0" collapsed="false">
      <c r="A30" s="7" t="s">
        <v>914</v>
      </c>
      <c r="B30" s="7" t="s">
        <v>83</v>
      </c>
      <c r="C30" s="7" t="s">
        <v>915</v>
      </c>
      <c r="D30" s="7" t="s">
        <v>853</v>
      </c>
      <c r="E30" s="7" t="s">
        <v>858</v>
      </c>
      <c r="F30" s="7" t="s">
        <v>854</v>
      </c>
      <c r="G30" s="7" t="s">
        <v>850</v>
      </c>
    </row>
    <row r="31" customFormat="false" ht="15" hidden="false" customHeight="false" outlineLevel="0" collapsed="false">
      <c r="A31" s="7" t="s">
        <v>916</v>
      </c>
      <c r="B31" s="7" t="s">
        <v>88</v>
      </c>
      <c r="C31" s="7" t="s">
        <v>917</v>
      </c>
      <c r="D31" s="7" t="s">
        <v>847</v>
      </c>
      <c r="E31" s="7" t="s">
        <v>858</v>
      </c>
      <c r="F31" s="7" t="s">
        <v>868</v>
      </c>
      <c r="G31" s="7" t="s">
        <v>850</v>
      </c>
    </row>
    <row r="32" customFormat="false" ht="15" hidden="false" customHeight="false" outlineLevel="0" collapsed="false">
      <c r="A32" s="7" t="s">
        <v>918</v>
      </c>
      <c r="B32" s="7" t="s">
        <v>88</v>
      </c>
      <c r="C32" s="7" t="s">
        <v>919</v>
      </c>
      <c r="D32" s="7" t="s">
        <v>895</v>
      </c>
      <c r="E32" s="7" t="s">
        <v>867</v>
      </c>
      <c r="F32" s="7" t="s">
        <v>868</v>
      </c>
      <c r="G32" s="7" t="s">
        <v>850</v>
      </c>
    </row>
    <row r="33" customFormat="false" ht="15" hidden="false" customHeight="false" outlineLevel="0" collapsed="false">
      <c r="A33" s="7" t="s">
        <v>920</v>
      </c>
      <c r="B33" s="7" t="s">
        <v>88</v>
      </c>
      <c r="C33" s="7" t="s">
        <v>921</v>
      </c>
      <c r="D33" s="7" t="s">
        <v>853</v>
      </c>
      <c r="E33" s="7" t="s">
        <v>858</v>
      </c>
      <c r="F33" s="7" t="s">
        <v>868</v>
      </c>
      <c r="G33" s="7" t="s">
        <v>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20"/>
  </cols>
  <sheetData>
    <row r="1" customFormat="false" ht="17.35" hidden="false" customHeight="false" outlineLevel="0" collapsed="false">
      <c r="B1" s="1" t="s">
        <v>99</v>
      </c>
    </row>
    <row r="3" customFormat="false" ht="15" hidden="false" customHeight="false" outlineLevel="0" collapsed="false">
      <c r="A3" s="6" t="s">
        <v>839</v>
      </c>
      <c r="B3" s="6" t="s">
        <v>7</v>
      </c>
      <c r="C3" s="6" t="s">
        <v>840</v>
      </c>
      <c r="D3" s="6" t="s">
        <v>841</v>
      </c>
      <c r="E3" s="6" t="s">
        <v>842</v>
      </c>
      <c r="F3" s="6" t="s">
        <v>843</v>
      </c>
      <c r="G3" s="6" t="s">
        <v>844</v>
      </c>
    </row>
    <row r="4" customFormat="false" ht="15" hidden="false" customHeight="false" outlineLevel="0" collapsed="false">
      <c r="A4" s="7" t="s">
        <v>922</v>
      </c>
      <c r="B4" s="7" t="s">
        <v>93</v>
      </c>
      <c r="C4" s="7" t="s">
        <v>923</v>
      </c>
      <c r="D4" s="7" t="s">
        <v>885</v>
      </c>
      <c r="E4" s="7" t="s">
        <v>858</v>
      </c>
      <c r="F4" s="7" t="s">
        <v>849</v>
      </c>
      <c r="G4" s="7" t="s">
        <v>850</v>
      </c>
    </row>
    <row r="5" customFormat="false" ht="15" hidden="false" customHeight="false" outlineLevel="0" collapsed="false">
      <c r="A5" s="7" t="s">
        <v>924</v>
      </c>
      <c r="B5" s="7" t="s">
        <v>93</v>
      </c>
      <c r="C5" s="7" t="s">
        <v>925</v>
      </c>
      <c r="D5" s="7" t="s">
        <v>876</v>
      </c>
      <c r="E5" s="7" t="s">
        <v>858</v>
      </c>
      <c r="F5" s="7" t="s">
        <v>849</v>
      </c>
      <c r="G5" s="7" t="s">
        <v>882</v>
      </c>
    </row>
    <row r="6" customFormat="false" ht="15" hidden="false" customHeight="false" outlineLevel="0" collapsed="false">
      <c r="A6" s="7" t="s">
        <v>926</v>
      </c>
      <c r="B6" s="7" t="s">
        <v>93</v>
      </c>
      <c r="C6" s="7" t="s">
        <v>927</v>
      </c>
      <c r="D6" s="7" t="s">
        <v>853</v>
      </c>
      <c r="E6" s="7" t="s">
        <v>848</v>
      </c>
      <c r="F6" s="7" t="s">
        <v>868</v>
      </c>
      <c r="G6" s="7" t="s">
        <v>855</v>
      </c>
    </row>
    <row r="7" customFormat="false" ht="15" hidden="false" customHeight="false" outlineLevel="0" collapsed="false">
      <c r="A7" s="7" t="s">
        <v>928</v>
      </c>
      <c r="B7" s="7" t="s">
        <v>93</v>
      </c>
      <c r="C7" s="7" t="s">
        <v>929</v>
      </c>
      <c r="D7" s="7" t="s">
        <v>881</v>
      </c>
      <c r="E7" s="7" t="s">
        <v>848</v>
      </c>
      <c r="F7" s="7" t="s">
        <v>854</v>
      </c>
      <c r="G7" s="7" t="s">
        <v>862</v>
      </c>
    </row>
    <row r="8" customFormat="false" ht="15" hidden="false" customHeight="false" outlineLevel="0" collapsed="false">
      <c r="A8" s="7" t="s">
        <v>930</v>
      </c>
      <c r="B8" s="7" t="s">
        <v>93</v>
      </c>
      <c r="C8" s="7" t="s">
        <v>931</v>
      </c>
      <c r="D8" s="7" t="s">
        <v>881</v>
      </c>
      <c r="E8" s="7" t="s">
        <v>867</v>
      </c>
      <c r="F8" s="7" t="s">
        <v>849</v>
      </c>
      <c r="G8" s="7" t="s">
        <v>855</v>
      </c>
    </row>
    <row r="9" customFormat="false" ht="15" hidden="false" customHeight="false" outlineLevel="0" collapsed="false">
      <c r="A9" s="7" t="s">
        <v>932</v>
      </c>
      <c r="B9" s="7" t="s">
        <v>100</v>
      </c>
      <c r="C9" s="7" t="s">
        <v>933</v>
      </c>
      <c r="D9" s="7" t="s">
        <v>876</v>
      </c>
      <c r="E9" s="7" t="s">
        <v>848</v>
      </c>
      <c r="F9" s="7" t="s">
        <v>868</v>
      </c>
      <c r="G9" s="7" t="s">
        <v>882</v>
      </c>
    </row>
    <row r="10" customFormat="false" ht="15" hidden="false" customHeight="false" outlineLevel="0" collapsed="false">
      <c r="A10" s="7" t="s">
        <v>934</v>
      </c>
      <c r="B10" s="7" t="s">
        <v>100</v>
      </c>
      <c r="C10" s="7" t="s">
        <v>935</v>
      </c>
      <c r="D10" s="7" t="s">
        <v>876</v>
      </c>
      <c r="E10" s="7" t="s">
        <v>858</v>
      </c>
      <c r="F10" s="7" t="s">
        <v>861</v>
      </c>
      <c r="G10" s="7" t="s">
        <v>850</v>
      </c>
    </row>
    <row r="11" customFormat="false" ht="15" hidden="false" customHeight="false" outlineLevel="0" collapsed="false">
      <c r="A11" s="7" t="s">
        <v>936</v>
      </c>
      <c r="B11" s="7" t="s">
        <v>100</v>
      </c>
      <c r="C11" s="7" t="s">
        <v>937</v>
      </c>
      <c r="D11" s="7" t="s">
        <v>876</v>
      </c>
      <c r="E11" s="7" t="s">
        <v>867</v>
      </c>
      <c r="F11" s="7" t="s">
        <v>868</v>
      </c>
      <c r="G11" s="7" t="s">
        <v>850</v>
      </c>
    </row>
    <row r="12" customFormat="false" ht="15" hidden="false" customHeight="false" outlineLevel="0" collapsed="false">
      <c r="A12" s="7" t="s">
        <v>938</v>
      </c>
      <c r="B12" s="7" t="s">
        <v>105</v>
      </c>
      <c r="C12" s="7" t="s">
        <v>939</v>
      </c>
      <c r="D12" s="7" t="s">
        <v>881</v>
      </c>
      <c r="E12" s="7" t="s">
        <v>867</v>
      </c>
      <c r="F12" s="7" t="s">
        <v>849</v>
      </c>
      <c r="G12" s="7" t="s">
        <v>862</v>
      </c>
    </row>
    <row r="13" customFormat="false" ht="15" hidden="false" customHeight="false" outlineLevel="0" collapsed="false">
      <c r="A13" s="7" t="s">
        <v>940</v>
      </c>
      <c r="B13" s="7" t="s">
        <v>105</v>
      </c>
      <c r="C13" s="7" t="s">
        <v>772</v>
      </c>
      <c r="D13" s="7" t="s">
        <v>853</v>
      </c>
      <c r="E13" s="7" t="s">
        <v>867</v>
      </c>
      <c r="F13" s="7" t="s">
        <v>854</v>
      </c>
      <c r="G13" s="7" t="s">
        <v>855</v>
      </c>
    </row>
    <row r="14" customFormat="false" ht="15" hidden="false" customHeight="false" outlineLevel="0" collapsed="false">
      <c r="A14" s="7" t="s">
        <v>941</v>
      </c>
      <c r="B14" s="7" t="s">
        <v>110</v>
      </c>
      <c r="C14" s="7" t="s">
        <v>909</v>
      </c>
      <c r="D14" s="7" t="s">
        <v>876</v>
      </c>
      <c r="E14" s="7" t="s">
        <v>867</v>
      </c>
      <c r="F14" s="7" t="s">
        <v>868</v>
      </c>
      <c r="G14" s="7" t="s">
        <v>850</v>
      </c>
    </row>
    <row r="15" customFormat="false" ht="15" hidden="false" customHeight="false" outlineLevel="0" collapsed="false">
      <c r="A15" s="7" t="s">
        <v>942</v>
      </c>
      <c r="B15" s="7" t="s">
        <v>110</v>
      </c>
      <c r="C15" s="7" t="s">
        <v>943</v>
      </c>
      <c r="D15" s="7" t="s">
        <v>853</v>
      </c>
      <c r="E15" s="7" t="s">
        <v>858</v>
      </c>
      <c r="F15" s="7" t="s">
        <v>871</v>
      </c>
      <c r="G15" s="7" t="s">
        <v>862</v>
      </c>
    </row>
    <row r="16" customFormat="false" ht="15" hidden="false" customHeight="false" outlineLevel="0" collapsed="false">
      <c r="A16" s="7" t="s">
        <v>944</v>
      </c>
      <c r="B16" s="7" t="s">
        <v>110</v>
      </c>
      <c r="C16" s="7" t="s">
        <v>945</v>
      </c>
      <c r="D16" s="7" t="s">
        <v>885</v>
      </c>
      <c r="E16" s="7" t="s">
        <v>848</v>
      </c>
      <c r="F16" s="7" t="s">
        <v>861</v>
      </c>
      <c r="G16" s="7" t="s">
        <v>855</v>
      </c>
    </row>
    <row r="17" customFormat="false" ht="15" hidden="false" customHeight="false" outlineLevel="0" collapsed="false">
      <c r="A17" s="7" t="s">
        <v>946</v>
      </c>
      <c r="B17" s="7" t="s">
        <v>110</v>
      </c>
      <c r="C17" s="7" t="s">
        <v>947</v>
      </c>
      <c r="D17" s="7" t="s">
        <v>885</v>
      </c>
      <c r="E17" s="7" t="s">
        <v>858</v>
      </c>
      <c r="F17" s="7" t="s">
        <v>871</v>
      </c>
      <c r="G17" s="7" t="s">
        <v>882</v>
      </c>
    </row>
    <row r="18" customFormat="false" ht="15" hidden="false" customHeight="false" outlineLevel="0" collapsed="false">
      <c r="A18" s="7" t="s">
        <v>948</v>
      </c>
      <c r="B18" s="7" t="s">
        <v>115</v>
      </c>
      <c r="C18" s="7" t="s">
        <v>949</v>
      </c>
      <c r="D18" s="7" t="s">
        <v>885</v>
      </c>
      <c r="E18" s="7" t="s">
        <v>848</v>
      </c>
      <c r="F18" s="7" t="s">
        <v>861</v>
      </c>
      <c r="G18" s="7" t="s">
        <v>855</v>
      </c>
    </row>
    <row r="19" customFormat="false" ht="15" hidden="false" customHeight="false" outlineLevel="0" collapsed="false">
      <c r="A19" s="7" t="s">
        <v>950</v>
      </c>
      <c r="B19" s="7" t="s">
        <v>115</v>
      </c>
      <c r="C19" s="7" t="s">
        <v>951</v>
      </c>
      <c r="D19" s="7" t="s">
        <v>895</v>
      </c>
      <c r="E19" s="7" t="s">
        <v>848</v>
      </c>
      <c r="F19" s="7" t="s">
        <v>854</v>
      </c>
      <c r="G19" s="7" t="s">
        <v>850</v>
      </c>
    </row>
    <row r="20" customFormat="false" ht="15" hidden="false" customHeight="false" outlineLevel="0" collapsed="false">
      <c r="A20" s="7" t="s">
        <v>952</v>
      </c>
      <c r="B20" s="7" t="s">
        <v>115</v>
      </c>
      <c r="C20" s="7" t="s">
        <v>953</v>
      </c>
      <c r="D20" s="7" t="s">
        <v>885</v>
      </c>
      <c r="E20" s="7" t="s">
        <v>867</v>
      </c>
      <c r="F20" s="7" t="s">
        <v>868</v>
      </c>
      <c r="G20" s="7" t="s">
        <v>850</v>
      </c>
    </row>
    <row r="21" customFormat="false" ht="15" hidden="false" customHeight="false" outlineLevel="0" collapsed="false">
      <c r="A21" s="7" t="s">
        <v>954</v>
      </c>
      <c r="B21" s="7" t="s">
        <v>120</v>
      </c>
      <c r="C21" s="7" t="s">
        <v>955</v>
      </c>
      <c r="D21" s="7" t="s">
        <v>847</v>
      </c>
      <c r="E21" s="7" t="s">
        <v>858</v>
      </c>
      <c r="F21" s="7" t="s">
        <v>868</v>
      </c>
      <c r="G21" s="7" t="s">
        <v>850</v>
      </c>
    </row>
    <row r="22" customFormat="false" ht="15" hidden="false" customHeight="false" outlineLevel="0" collapsed="false">
      <c r="A22" s="7" t="s">
        <v>956</v>
      </c>
      <c r="B22" s="7" t="s">
        <v>120</v>
      </c>
      <c r="C22" s="7" t="s">
        <v>957</v>
      </c>
      <c r="D22" s="7" t="s">
        <v>847</v>
      </c>
      <c r="E22" s="7" t="s">
        <v>858</v>
      </c>
      <c r="F22" s="7" t="s">
        <v>854</v>
      </c>
      <c r="G22" s="7" t="s">
        <v>862</v>
      </c>
    </row>
    <row r="23" customFormat="false" ht="15" hidden="false" customHeight="false" outlineLevel="0" collapsed="false">
      <c r="A23" s="7" t="s">
        <v>958</v>
      </c>
      <c r="B23" s="7" t="s">
        <v>120</v>
      </c>
      <c r="C23" s="7" t="s">
        <v>959</v>
      </c>
      <c r="D23" s="7" t="s">
        <v>885</v>
      </c>
      <c r="E23" s="7" t="s">
        <v>858</v>
      </c>
      <c r="F23" s="7" t="s">
        <v>871</v>
      </c>
      <c r="G23" s="7" t="s">
        <v>862</v>
      </c>
    </row>
    <row r="24" customFormat="false" ht="15" hidden="false" customHeight="false" outlineLevel="0" collapsed="false">
      <c r="A24" s="7" t="s">
        <v>960</v>
      </c>
      <c r="B24" s="7" t="s">
        <v>120</v>
      </c>
      <c r="C24" s="7" t="s">
        <v>961</v>
      </c>
      <c r="D24" s="7" t="s">
        <v>847</v>
      </c>
      <c r="E24" s="7" t="s">
        <v>867</v>
      </c>
      <c r="F24" s="7" t="s">
        <v>868</v>
      </c>
      <c r="G24" s="7" t="s">
        <v>855</v>
      </c>
    </row>
    <row r="25" customFormat="false" ht="15" hidden="false" customHeight="false" outlineLevel="0" collapsed="false">
      <c r="A25" s="7" t="s">
        <v>962</v>
      </c>
      <c r="B25" s="7" t="s">
        <v>120</v>
      </c>
      <c r="C25" s="7" t="s">
        <v>963</v>
      </c>
      <c r="D25" s="7" t="s">
        <v>885</v>
      </c>
      <c r="E25" s="7" t="s">
        <v>867</v>
      </c>
      <c r="F25" s="7" t="s">
        <v>871</v>
      </c>
      <c r="G25" s="7" t="s">
        <v>855</v>
      </c>
    </row>
    <row r="26" customFormat="false" ht="15" hidden="false" customHeight="false" outlineLevel="0" collapsed="false">
      <c r="A26" s="7" t="s">
        <v>964</v>
      </c>
      <c r="B26" s="7" t="s">
        <v>125</v>
      </c>
      <c r="C26" s="7" t="s">
        <v>965</v>
      </c>
      <c r="D26" s="7" t="s">
        <v>895</v>
      </c>
      <c r="E26" s="7" t="s">
        <v>848</v>
      </c>
      <c r="F26" s="7" t="s">
        <v>861</v>
      </c>
      <c r="G26" s="7" t="s">
        <v>862</v>
      </c>
    </row>
    <row r="27" customFormat="false" ht="15" hidden="false" customHeight="false" outlineLevel="0" collapsed="false">
      <c r="A27" s="7" t="s">
        <v>966</v>
      </c>
      <c r="B27" s="7" t="s">
        <v>125</v>
      </c>
      <c r="C27" s="7" t="s">
        <v>967</v>
      </c>
      <c r="D27" s="7" t="s">
        <v>876</v>
      </c>
      <c r="E27" s="7" t="s">
        <v>867</v>
      </c>
      <c r="F27" s="7" t="s">
        <v>871</v>
      </c>
      <c r="G27" s="7" t="s">
        <v>855</v>
      </c>
    </row>
    <row r="28" customFormat="false" ht="15" hidden="false" customHeight="false" outlineLevel="0" collapsed="false">
      <c r="A28" s="7" t="s">
        <v>968</v>
      </c>
      <c r="B28" s="7" t="s">
        <v>130</v>
      </c>
      <c r="C28" s="7" t="s">
        <v>969</v>
      </c>
      <c r="D28" s="7" t="s">
        <v>876</v>
      </c>
      <c r="E28" s="7" t="s">
        <v>867</v>
      </c>
      <c r="F28" s="7" t="s">
        <v>868</v>
      </c>
      <c r="G28" s="7" t="s">
        <v>850</v>
      </c>
    </row>
    <row r="29" customFormat="false" ht="15" hidden="false" customHeight="false" outlineLevel="0" collapsed="false">
      <c r="A29" s="7" t="s">
        <v>970</v>
      </c>
      <c r="B29" s="7" t="s">
        <v>130</v>
      </c>
      <c r="C29" s="7" t="s">
        <v>971</v>
      </c>
      <c r="D29" s="7" t="s">
        <v>881</v>
      </c>
      <c r="E29" s="7" t="s">
        <v>867</v>
      </c>
      <c r="F29" s="7" t="s">
        <v>849</v>
      </c>
      <c r="G29" s="7" t="s">
        <v>850</v>
      </c>
    </row>
    <row r="30" customFormat="false" ht="15" hidden="false" customHeight="false" outlineLevel="0" collapsed="false">
      <c r="A30" s="7" t="s">
        <v>972</v>
      </c>
      <c r="B30" s="7" t="s">
        <v>130</v>
      </c>
      <c r="C30" s="7" t="s">
        <v>973</v>
      </c>
      <c r="D30" s="7" t="s">
        <v>895</v>
      </c>
      <c r="E30" s="7" t="s">
        <v>848</v>
      </c>
      <c r="F30" s="7" t="s">
        <v>854</v>
      </c>
      <c r="G30" s="7" t="s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20"/>
  </cols>
  <sheetData>
    <row r="1" customFormat="false" ht="17.35" hidden="false" customHeight="false" outlineLevel="0" collapsed="false">
      <c r="B1" s="1" t="s">
        <v>140</v>
      </c>
    </row>
    <row r="3" customFormat="false" ht="15" hidden="false" customHeight="false" outlineLevel="0" collapsed="false">
      <c r="A3" s="6" t="s">
        <v>839</v>
      </c>
      <c r="B3" s="6" t="s">
        <v>7</v>
      </c>
      <c r="C3" s="6" t="s">
        <v>840</v>
      </c>
      <c r="D3" s="6" t="s">
        <v>841</v>
      </c>
      <c r="E3" s="6" t="s">
        <v>842</v>
      </c>
      <c r="F3" s="6" t="s">
        <v>843</v>
      </c>
      <c r="G3" s="6" t="s">
        <v>844</v>
      </c>
    </row>
    <row r="4" customFormat="false" ht="15" hidden="false" customHeight="false" outlineLevel="0" collapsed="false">
      <c r="A4" s="7" t="s">
        <v>974</v>
      </c>
      <c r="B4" s="7" t="s">
        <v>135</v>
      </c>
      <c r="C4" s="7" t="s">
        <v>779</v>
      </c>
      <c r="D4" s="7" t="s">
        <v>847</v>
      </c>
      <c r="E4" s="7" t="s">
        <v>858</v>
      </c>
      <c r="F4" s="7" t="s">
        <v>868</v>
      </c>
      <c r="G4" s="7" t="s">
        <v>850</v>
      </c>
    </row>
    <row r="5" customFormat="false" ht="15" hidden="false" customHeight="false" outlineLevel="0" collapsed="false">
      <c r="A5" s="7" t="s">
        <v>975</v>
      </c>
      <c r="B5" s="7" t="s">
        <v>135</v>
      </c>
      <c r="C5" s="7" t="s">
        <v>976</v>
      </c>
      <c r="D5" s="7" t="s">
        <v>847</v>
      </c>
      <c r="E5" s="7" t="s">
        <v>848</v>
      </c>
      <c r="F5" s="7" t="s">
        <v>849</v>
      </c>
      <c r="G5" s="7" t="s">
        <v>882</v>
      </c>
    </row>
    <row r="6" customFormat="false" ht="15" hidden="false" customHeight="false" outlineLevel="0" collapsed="false">
      <c r="A6" s="7" t="s">
        <v>977</v>
      </c>
      <c r="B6" s="7" t="s">
        <v>135</v>
      </c>
      <c r="C6" s="7" t="s">
        <v>978</v>
      </c>
      <c r="D6" s="7" t="s">
        <v>876</v>
      </c>
      <c r="E6" s="7" t="s">
        <v>848</v>
      </c>
      <c r="F6" s="7" t="s">
        <v>849</v>
      </c>
      <c r="G6" s="7" t="s">
        <v>855</v>
      </c>
    </row>
    <row r="7" customFormat="false" ht="15" hidden="false" customHeight="false" outlineLevel="0" collapsed="false">
      <c r="A7" s="7" t="s">
        <v>979</v>
      </c>
      <c r="B7" s="7" t="s">
        <v>141</v>
      </c>
      <c r="C7" s="7" t="s">
        <v>980</v>
      </c>
      <c r="D7" s="7" t="s">
        <v>853</v>
      </c>
      <c r="E7" s="7" t="s">
        <v>848</v>
      </c>
      <c r="F7" s="7" t="s">
        <v>868</v>
      </c>
      <c r="G7" s="7" t="s">
        <v>850</v>
      </c>
    </row>
    <row r="8" customFormat="false" ht="15" hidden="false" customHeight="false" outlineLevel="0" collapsed="false">
      <c r="A8" s="7" t="s">
        <v>981</v>
      </c>
      <c r="B8" s="7" t="s">
        <v>141</v>
      </c>
      <c r="C8" s="7" t="s">
        <v>888</v>
      </c>
      <c r="D8" s="7" t="s">
        <v>895</v>
      </c>
      <c r="E8" s="7" t="s">
        <v>867</v>
      </c>
      <c r="F8" s="7" t="s">
        <v>849</v>
      </c>
      <c r="G8" s="7" t="s">
        <v>850</v>
      </c>
    </row>
    <row r="9" customFormat="false" ht="15" hidden="false" customHeight="false" outlineLevel="0" collapsed="false">
      <c r="A9" s="7" t="s">
        <v>982</v>
      </c>
      <c r="B9" s="7" t="s">
        <v>141</v>
      </c>
      <c r="C9" s="7" t="s">
        <v>983</v>
      </c>
      <c r="D9" s="7" t="s">
        <v>847</v>
      </c>
      <c r="E9" s="7" t="s">
        <v>867</v>
      </c>
      <c r="F9" s="7" t="s">
        <v>861</v>
      </c>
      <c r="G9" s="7" t="s">
        <v>855</v>
      </c>
    </row>
    <row r="10" customFormat="false" ht="15" hidden="false" customHeight="false" outlineLevel="0" collapsed="false">
      <c r="A10" s="7" t="s">
        <v>984</v>
      </c>
      <c r="B10" s="7" t="s">
        <v>141</v>
      </c>
      <c r="C10" s="7" t="s">
        <v>985</v>
      </c>
      <c r="D10" s="7" t="s">
        <v>895</v>
      </c>
      <c r="E10" s="7" t="s">
        <v>867</v>
      </c>
      <c r="F10" s="7" t="s">
        <v>861</v>
      </c>
      <c r="G10" s="7" t="s">
        <v>882</v>
      </c>
    </row>
    <row r="11" customFormat="false" ht="15" hidden="false" customHeight="false" outlineLevel="0" collapsed="false">
      <c r="A11" s="7" t="s">
        <v>986</v>
      </c>
      <c r="B11" s="7" t="s">
        <v>146</v>
      </c>
      <c r="C11" s="7" t="s">
        <v>987</v>
      </c>
      <c r="D11" s="7" t="s">
        <v>876</v>
      </c>
      <c r="E11" s="7" t="s">
        <v>858</v>
      </c>
      <c r="F11" s="7" t="s">
        <v>861</v>
      </c>
      <c r="G11" s="7" t="s">
        <v>882</v>
      </c>
    </row>
    <row r="12" customFormat="false" ht="15" hidden="false" customHeight="false" outlineLevel="0" collapsed="false">
      <c r="A12" s="7" t="s">
        <v>988</v>
      </c>
      <c r="B12" s="7" t="s">
        <v>146</v>
      </c>
      <c r="C12" s="7" t="s">
        <v>989</v>
      </c>
      <c r="D12" s="7" t="s">
        <v>847</v>
      </c>
      <c r="E12" s="7" t="s">
        <v>848</v>
      </c>
      <c r="F12" s="7" t="s">
        <v>868</v>
      </c>
      <c r="G12" s="7" t="s">
        <v>855</v>
      </c>
    </row>
    <row r="13" customFormat="false" ht="15" hidden="false" customHeight="false" outlineLevel="0" collapsed="false">
      <c r="A13" s="7" t="s">
        <v>990</v>
      </c>
      <c r="B13" s="7" t="s">
        <v>151</v>
      </c>
      <c r="C13" s="7" t="s">
        <v>991</v>
      </c>
      <c r="D13" s="7" t="s">
        <v>853</v>
      </c>
      <c r="E13" s="7" t="s">
        <v>858</v>
      </c>
      <c r="F13" s="7" t="s">
        <v>854</v>
      </c>
      <c r="G13" s="7" t="s">
        <v>855</v>
      </c>
    </row>
    <row r="14" customFormat="false" ht="15" hidden="false" customHeight="false" outlineLevel="0" collapsed="false">
      <c r="A14" s="7" t="s">
        <v>992</v>
      </c>
      <c r="B14" s="7" t="s">
        <v>151</v>
      </c>
      <c r="C14" s="7" t="s">
        <v>993</v>
      </c>
      <c r="D14" s="7" t="s">
        <v>853</v>
      </c>
      <c r="E14" s="7" t="s">
        <v>858</v>
      </c>
      <c r="F14" s="7" t="s">
        <v>868</v>
      </c>
      <c r="G14" s="7" t="s">
        <v>855</v>
      </c>
    </row>
    <row r="15" customFormat="false" ht="15" hidden="false" customHeight="false" outlineLevel="0" collapsed="false">
      <c r="A15" s="7" t="s">
        <v>994</v>
      </c>
      <c r="B15" s="7" t="s">
        <v>151</v>
      </c>
      <c r="C15" s="7" t="s">
        <v>995</v>
      </c>
      <c r="D15" s="7" t="s">
        <v>876</v>
      </c>
      <c r="E15" s="7" t="s">
        <v>858</v>
      </c>
      <c r="F15" s="7" t="s">
        <v>849</v>
      </c>
      <c r="G15" s="7" t="s">
        <v>882</v>
      </c>
    </row>
    <row r="16" customFormat="false" ht="15" hidden="false" customHeight="false" outlineLevel="0" collapsed="false">
      <c r="A16" s="7" t="s">
        <v>996</v>
      </c>
      <c r="B16" s="7" t="s">
        <v>151</v>
      </c>
      <c r="C16" s="7" t="s">
        <v>997</v>
      </c>
      <c r="D16" s="7" t="s">
        <v>885</v>
      </c>
      <c r="E16" s="7" t="s">
        <v>858</v>
      </c>
      <c r="F16" s="7" t="s">
        <v>849</v>
      </c>
      <c r="G16" s="7" t="s">
        <v>850</v>
      </c>
    </row>
    <row r="17" customFormat="false" ht="15" hidden="false" customHeight="false" outlineLevel="0" collapsed="false">
      <c r="A17" s="7" t="s">
        <v>998</v>
      </c>
      <c r="B17" s="7" t="s">
        <v>156</v>
      </c>
      <c r="C17" s="7" t="s">
        <v>999</v>
      </c>
      <c r="D17" s="7" t="s">
        <v>876</v>
      </c>
      <c r="E17" s="7" t="s">
        <v>858</v>
      </c>
      <c r="F17" s="7" t="s">
        <v>854</v>
      </c>
      <c r="G17" s="7" t="s">
        <v>862</v>
      </c>
    </row>
    <row r="18" customFormat="false" ht="15" hidden="false" customHeight="false" outlineLevel="0" collapsed="false">
      <c r="A18" s="7" t="s">
        <v>1000</v>
      </c>
      <c r="B18" s="7" t="s">
        <v>156</v>
      </c>
      <c r="C18" s="7" t="s">
        <v>1001</v>
      </c>
      <c r="D18" s="7" t="s">
        <v>881</v>
      </c>
      <c r="E18" s="7" t="s">
        <v>858</v>
      </c>
      <c r="F18" s="7" t="s">
        <v>868</v>
      </c>
      <c r="G18" s="7" t="s">
        <v>850</v>
      </c>
    </row>
    <row r="19" customFormat="false" ht="15" hidden="false" customHeight="false" outlineLevel="0" collapsed="false">
      <c r="A19" s="7" t="s">
        <v>1002</v>
      </c>
      <c r="B19" s="7" t="s">
        <v>156</v>
      </c>
      <c r="C19" s="7" t="s">
        <v>1003</v>
      </c>
      <c r="D19" s="7" t="s">
        <v>847</v>
      </c>
      <c r="E19" s="7" t="s">
        <v>848</v>
      </c>
      <c r="F19" s="7" t="s">
        <v>849</v>
      </c>
      <c r="G19" s="7" t="s">
        <v>855</v>
      </c>
    </row>
    <row r="20" customFormat="false" ht="15" hidden="false" customHeight="false" outlineLevel="0" collapsed="false">
      <c r="A20" s="7" t="s">
        <v>1004</v>
      </c>
      <c r="B20" s="7" t="s">
        <v>156</v>
      </c>
      <c r="C20" s="7" t="s">
        <v>1005</v>
      </c>
      <c r="D20" s="7" t="s">
        <v>876</v>
      </c>
      <c r="E20" s="7" t="s">
        <v>848</v>
      </c>
      <c r="F20" s="7" t="s">
        <v>854</v>
      </c>
      <c r="G20" s="7" t="s">
        <v>850</v>
      </c>
    </row>
    <row r="21" customFormat="false" ht="15" hidden="false" customHeight="false" outlineLevel="0" collapsed="false">
      <c r="A21" s="7" t="s">
        <v>1006</v>
      </c>
      <c r="B21" s="7" t="s">
        <v>156</v>
      </c>
      <c r="C21" s="7" t="s">
        <v>1007</v>
      </c>
      <c r="D21" s="7" t="s">
        <v>853</v>
      </c>
      <c r="E21" s="7" t="s">
        <v>858</v>
      </c>
      <c r="F21" s="7" t="s">
        <v>861</v>
      </c>
      <c r="G21" s="7" t="s">
        <v>862</v>
      </c>
    </row>
    <row r="22" customFormat="false" ht="15" hidden="false" customHeight="false" outlineLevel="0" collapsed="false">
      <c r="A22" s="7" t="s">
        <v>1008</v>
      </c>
      <c r="B22" s="7" t="s">
        <v>161</v>
      </c>
      <c r="C22" s="7" t="s">
        <v>624</v>
      </c>
      <c r="D22" s="7" t="s">
        <v>876</v>
      </c>
      <c r="E22" s="7" t="s">
        <v>858</v>
      </c>
      <c r="F22" s="7" t="s">
        <v>868</v>
      </c>
      <c r="G22" s="7" t="s">
        <v>850</v>
      </c>
    </row>
    <row r="23" customFormat="false" ht="15" hidden="false" customHeight="false" outlineLevel="0" collapsed="false">
      <c r="A23" s="7" t="s">
        <v>1009</v>
      </c>
      <c r="B23" s="7" t="s">
        <v>161</v>
      </c>
      <c r="C23" s="7" t="s">
        <v>1010</v>
      </c>
      <c r="D23" s="7" t="s">
        <v>847</v>
      </c>
      <c r="E23" s="7" t="s">
        <v>867</v>
      </c>
      <c r="F23" s="7" t="s">
        <v>871</v>
      </c>
      <c r="G23" s="7" t="s">
        <v>850</v>
      </c>
    </row>
    <row r="24" customFormat="false" ht="15" hidden="false" customHeight="false" outlineLevel="0" collapsed="false">
      <c r="A24" s="7" t="s">
        <v>1011</v>
      </c>
      <c r="B24" s="7" t="s">
        <v>161</v>
      </c>
      <c r="C24" s="7" t="s">
        <v>1012</v>
      </c>
      <c r="D24" s="7" t="s">
        <v>895</v>
      </c>
      <c r="E24" s="7" t="s">
        <v>858</v>
      </c>
      <c r="F24" s="7" t="s">
        <v>871</v>
      </c>
      <c r="G24" s="7" t="s">
        <v>862</v>
      </c>
    </row>
    <row r="25" customFormat="false" ht="15" hidden="false" customHeight="false" outlineLevel="0" collapsed="false">
      <c r="A25" s="7" t="s">
        <v>1013</v>
      </c>
      <c r="B25" s="7" t="s">
        <v>161</v>
      </c>
      <c r="C25" s="7" t="s">
        <v>1014</v>
      </c>
      <c r="D25" s="7" t="s">
        <v>847</v>
      </c>
      <c r="E25" s="7" t="s">
        <v>867</v>
      </c>
      <c r="F25" s="7" t="s">
        <v>849</v>
      </c>
      <c r="G25" s="7" t="s">
        <v>882</v>
      </c>
    </row>
    <row r="26" customFormat="false" ht="15" hidden="false" customHeight="false" outlineLevel="0" collapsed="false">
      <c r="A26" s="7" t="s">
        <v>1015</v>
      </c>
      <c r="B26" s="7" t="s">
        <v>166</v>
      </c>
      <c r="C26" s="7" t="s">
        <v>1016</v>
      </c>
      <c r="D26" s="7" t="s">
        <v>895</v>
      </c>
      <c r="E26" s="7" t="s">
        <v>858</v>
      </c>
      <c r="F26" s="7" t="s">
        <v>868</v>
      </c>
      <c r="G26" s="7" t="s">
        <v>855</v>
      </c>
    </row>
    <row r="27" customFormat="false" ht="15" hidden="false" customHeight="false" outlineLevel="0" collapsed="false">
      <c r="A27" s="7" t="s">
        <v>1017</v>
      </c>
      <c r="B27" s="7" t="s">
        <v>166</v>
      </c>
      <c r="C27" s="7" t="s">
        <v>1018</v>
      </c>
      <c r="D27" s="7" t="s">
        <v>881</v>
      </c>
      <c r="E27" s="7" t="s">
        <v>848</v>
      </c>
      <c r="F27" s="7" t="s">
        <v>854</v>
      </c>
      <c r="G27" s="7" t="s">
        <v>862</v>
      </c>
    </row>
    <row r="28" customFormat="false" ht="15" hidden="false" customHeight="false" outlineLevel="0" collapsed="false">
      <c r="A28" s="7" t="s">
        <v>1019</v>
      </c>
      <c r="B28" s="7" t="s">
        <v>166</v>
      </c>
      <c r="C28" s="7" t="s">
        <v>1020</v>
      </c>
      <c r="D28" s="7" t="s">
        <v>895</v>
      </c>
      <c r="E28" s="7" t="s">
        <v>858</v>
      </c>
      <c r="F28" s="7" t="s">
        <v>854</v>
      </c>
      <c r="G28" s="7" t="s">
        <v>882</v>
      </c>
    </row>
    <row r="29" customFormat="false" ht="15" hidden="false" customHeight="false" outlineLevel="0" collapsed="false">
      <c r="A29" s="7" t="s">
        <v>1021</v>
      </c>
      <c r="B29" s="7" t="s">
        <v>166</v>
      </c>
      <c r="C29" s="7" t="s">
        <v>1022</v>
      </c>
      <c r="D29" s="7" t="s">
        <v>847</v>
      </c>
      <c r="E29" s="7" t="s">
        <v>848</v>
      </c>
      <c r="F29" s="7" t="s">
        <v>871</v>
      </c>
      <c r="G29" s="7" t="s">
        <v>882</v>
      </c>
    </row>
    <row r="30" customFormat="false" ht="15" hidden="false" customHeight="false" outlineLevel="0" collapsed="false">
      <c r="A30" s="7" t="s">
        <v>1023</v>
      </c>
      <c r="B30" s="7" t="s">
        <v>171</v>
      </c>
      <c r="C30" s="7" t="s">
        <v>1024</v>
      </c>
      <c r="D30" s="7" t="s">
        <v>885</v>
      </c>
      <c r="E30" s="7" t="s">
        <v>867</v>
      </c>
      <c r="F30" s="7" t="s">
        <v>861</v>
      </c>
      <c r="G30" s="7" t="s">
        <v>855</v>
      </c>
    </row>
    <row r="31" customFormat="false" ht="15" hidden="false" customHeight="false" outlineLevel="0" collapsed="false">
      <c r="A31" s="7" t="s">
        <v>1025</v>
      </c>
      <c r="B31" s="7" t="s">
        <v>171</v>
      </c>
      <c r="C31" s="7" t="s">
        <v>1026</v>
      </c>
      <c r="D31" s="7" t="s">
        <v>876</v>
      </c>
      <c r="E31" s="7" t="s">
        <v>858</v>
      </c>
      <c r="F31" s="7" t="s">
        <v>861</v>
      </c>
      <c r="G31" s="7" t="s">
        <v>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20"/>
  </cols>
  <sheetData>
    <row r="1" customFormat="false" ht="17.35" hidden="false" customHeight="false" outlineLevel="0" collapsed="false">
      <c r="B1" s="1" t="s">
        <v>180</v>
      </c>
    </row>
    <row r="3" customFormat="false" ht="15" hidden="false" customHeight="false" outlineLevel="0" collapsed="false">
      <c r="A3" s="6" t="s">
        <v>839</v>
      </c>
      <c r="B3" s="6" t="s">
        <v>7</v>
      </c>
      <c r="C3" s="6" t="s">
        <v>840</v>
      </c>
      <c r="D3" s="6" t="s">
        <v>841</v>
      </c>
      <c r="E3" s="6" t="s">
        <v>842</v>
      </c>
      <c r="F3" s="6" t="s">
        <v>843</v>
      </c>
      <c r="G3" s="6" t="s">
        <v>844</v>
      </c>
    </row>
    <row r="4" customFormat="false" ht="15" hidden="false" customHeight="false" outlineLevel="0" collapsed="false">
      <c r="A4" s="7" t="s">
        <v>1027</v>
      </c>
      <c r="B4" s="7" t="s">
        <v>175</v>
      </c>
      <c r="C4" s="7" t="s">
        <v>1028</v>
      </c>
      <c r="D4" s="7" t="s">
        <v>876</v>
      </c>
      <c r="E4" s="7" t="s">
        <v>858</v>
      </c>
      <c r="F4" s="7" t="s">
        <v>854</v>
      </c>
      <c r="G4" s="7" t="s">
        <v>862</v>
      </c>
    </row>
    <row r="5" customFormat="false" ht="15" hidden="false" customHeight="false" outlineLevel="0" collapsed="false">
      <c r="A5" s="7" t="s">
        <v>1029</v>
      </c>
      <c r="B5" s="7" t="s">
        <v>175</v>
      </c>
      <c r="C5" s="7" t="s">
        <v>1030</v>
      </c>
      <c r="D5" s="7" t="s">
        <v>885</v>
      </c>
      <c r="E5" s="7" t="s">
        <v>848</v>
      </c>
      <c r="F5" s="7" t="s">
        <v>849</v>
      </c>
      <c r="G5" s="7" t="s">
        <v>882</v>
      </c>
    </row>
    <row r="6" customFormat="false" ht="15" hidden="false" customHeight="false" outlineLevel="0" collapsed="false">
      <c r="A6" s="7" t="s">
        <v>1031</v>
      </c>
      <c r="B6" s="7" t="s">
        <v>181</v>
      </c>
      <c r="C6" s="7" t="s">
        <v>1032</v>
      </c>
      <c r="D6" s="7" t="s">
        <v>847</v>
      </c>
      <c r="E6" s="7" t="s">
        <v>858</v>
      </c>
      <c r="F6" s="7" t="s">
        <v>854</v>
      </c>
      <c r="G6" s="7" t="s">
        <v>882</v>
      </c>
    </row>
    <row r="7" customFormat="false" ht="15" hidden="false" customHeight="false" outlineLevel="0" collapsed="false">
      <c r="A7" s="7" t="s">
        <v>1033</v>
      </c>
      <c r="B7" s="7" t="s">
        <v>181</v>
      </c>
      <c r="C7" s="7" t="s">
        <v>1034</v>
      </c>
      <c r="D7" s="7" t="s">
        <v>847</v>
      </c>
      <c r="E7" s="7" t="s">
        <v>858</v>
      </c>
      <c r="F7" s="7" t="s">
        <v>854</v>
      </c>
      <c r="G7" s="7" t="s">
        <v>882</v>
      </c>
    </row>
    <row r="8" customFormat="false" ht="15" hidden="false" customHeight="false" outlineLevel="0" collapsed="false">
      <c r="A8" s="7" t="s">
        <v>1035</v>
      </c>
      <c r="B8" s="7" t="s">
        <v>181</v>
      </c>
      <c r="C8" s="7" t="s">
        <v>1036</v>
      </c>
      <c r="D8" s="7" t="s">
        <v>881</v>
      </c>
      <c r="E8" s="7" t="s">
        <v>848</v>
      </c>
      <c r="F8" s="7" t="s">
        <v>861</v>
      </c>
      <c r="G8" s="7" t="s">
        <v>855</v>
      </c>
    </row>
    <row r="9" customFormat="false" ht="15" hidden="false" customHeight="false" outlineLevel="0" collapsed="false">
      <c r="A9" s="7" t="s">
        <v>1037</v>
      </c>
      <c r="B9" s="7" t="s">
        <v>181</v>
      </c>
      <c r="C9" s="7" t="s">
        <v>1038</v>
      </c>
      <c r="D9" s="7" t="s">
        <v>876</v>
      </c>
      <c r="E9" s="7" t="s">
        <v>848</v>
      </c>
      <c r="F9" s="7" t="s">
        <v>868</v>
      </c>
      <c r="G9" s="7" t="s">
        <v>862</v>
      </c>
    </row>
    <row r="10" customFormat="false" ht="15" hidden="false" customHeight="false" outlineLevel="0" collapsed="false">
      <c r="A10" s="7" t="s">
        <v>1039</v>
      </c>
      <c r="B10" s="7" t="s">
        <v>181</v>
      </c>
      <c r="C10" s="7" t="s">
        <v>1040</v>
      </c>
      <c r="D10" s="7" t="s">
        <v>847</v>
      </c>
      <c r="E10" s="7" t="s">
        <v>867</v>
      </c>
      <c r="F10" s="7" t="s">
        <v>854</v>
      </c>
      <c r="G10" s="7" t="s">
        <v>855</v>
      </c>
    </row>
    <row r="11" customFormat="false" ht="15" hidden="false" customHeight="false" outlineLevel="0" collapsed="false">
      <c r="A11" s="7" t="s">
        <v>1041</v>
      </c>
      <c r="B11" s="7" t="s">
        <v>186</v>
      </c>
      <c r="C11" s="7" t="s">
        <v>1042</v>
      </c>
      <c r="D11" s="7" t="s">
        <v>876</v>
      </c>
      <c r="E11" s="7" t="s">
        <v>867</v>
      </c>
      <c r="F11" s="7" t="s">
        <v>861</v>
      </c>
      <c r="G11" s="7" t="s">
        <v>855</v>
      </c>
    </row>
    <row r="12" customFormat="false" ht="15" hidden="false" customHeight="false" outlineLevel="0" collapsed="false">
      <c r="A12" s="7" t="s">
        <v>1043</v>
      </c>
      <c r="B12" s="7" t="s">
        <v>186</v>
      </c>
      <c r="C12" s="7" t="s">
        <v>1044</v>
      </c>
      <c r="D12" s="7" t="s">
        <v>881</v>
      </c>
      <c r="E12" s="7" t="s">
        <v>848</v>
      </c>
      <c r="F12" s="7" t="s">
        <v>854</v>
      </c>
      <c r="G12" s="7" t="s">
        <v>862</v>
      </c>
    </row>
    <row r="13" customFormat="false" ht="15" hidden="false" customHeight="false" outlineLevel="0" collapsed="false">
      <c r="A13" s="7" t="s">
        <v>1045</v>
      </c>
      <c r="B13" s="7" t="s">
        <v>186</v>
      </c>
      <c r="C13" s="7" t="s">
        <v>1046</v>
      </c>
      <c r="D13" s="7" t="s">
        <v>895</v>
      </c>
      <c r="E13" s="7" t="s">
        <v>848</v>
      </c>
      <c r="F13" s="7" t="s">
        <v>849</v>
      </c>
      <c r="G13" s="7" t="s">
        <v>855</v>
      </c>
    </row>
    <row r="14" customFormat="false" ht="15" hidden="false" customHeight="false" outlineLevel="0" collapsed="false">
      <c r="A14" s="7" t="s">
        <v>1047</v>
      </c>
      <c r="B14" s="7" t="s">
        <v>186</v>
      </c>
      <c r="C14" s="7" t="s">
        <v>1048</v>
      </c>
      <c r="D14" s="7" t="s">
        <v>853</v>
      </c>
      <c r="E14" s="7" t="s">
        <v>858</v>
      </c>
      <c r="F14" s="7" t="s">
        <v>868</v>
      </c>
      <c r="G14" s="7" t="s">
        <v>882</v>
      </c>
    </row>
    <row r="15" customFormat="false" ht="15" hidden="false" customHeight="false" outlineLevel="0" collapsed="false">
      <c r="A15" s="7" t="s">
        <v>1049</v>
      </c>
      <c r="B15" s="7" t="s">
        <v>191</v>
      </c>
      <c r="C15" s="7" t="s">
        <v>1050</v>
      </c>
      <c r="D15" s="7" t="s">
        <v>885</v>
      </c>
      <c r="E15" s="7" t="s">
        <v>858</v>
      </c>
      <c r="F15" s="7" t="s">
        <v>868</v>
      </c>
      <c r="G15" s="7" t="s">
        <v>882</v>
      </c>
    </row>
    <row r="16" customFormat="false" ht="15" hidden="false" customHeight="false" outlineLevel="0" collapsed="false">
      <c r="A16" s="7" t="s">
        <v>1051</v>
      </c>
      <c r="B16" s="7" t="s">
        <v>191</v>
      </c>
      <c r="C16" s="7" t="s">
        <v>1052</v>
      </c>
      <c r="D16" s="7" t="s">
        <v>876</v>
      </c>
      <c r="E16" s="7" t="s">
        <v>848</v>
      </c>
      <c r="F16" s="7" t="s">
        <v>861</v>
      </c>
      <c r="G16" s="7" t="s">
        <v>855</v>
      </c>
    </row>
    <row r="17" customFormat="false" ht="15" hidden="false" customHeight="false" outlineLevel="0" collapsed="false">
      <c r="A17" s="7" t="s">
        <v>1053</v>
      </c>
      <c r="B17" s="7" t="s">
        <v>191</v>
      </c>
      <c r="C17" s="7" t="s">
        <v>1054</v>
      </c>
      <c r="D17" s="7" t="s">
        <v>881</v>
      </c>
      <c r="E17" s="7" t="s">
        <v>858</v>
      </c>
      <c r="F17" s="7" t="s">
        <v>854</v>
      </c>
      <c r="G17" s="7" t="s">
        <v>850</v>
      </c>
    </row>
    <row r="18" customFormat="false" ht="15" hidden="false" customHeight="false" outlineLevel="0" collapsed="false">
      <c r="A18" s="7" t="s">
        <v>1055</v>
      </c>
      <c r="B18" s="7" t="s">
        <v>196</v>
      </c>
      <c r="C18" s="7" t="s">
        <v>1056</v>
      </c>
      <c r="D18" s="7" t="s">
        <v>847</v>
      </c>
      <c r="E18" s="7" t="s">
        <v>867</v>
      </c>
      <c r="F18" s="7" t="s">
        <v>861</v>
      </c>
      <c r="G18" s="7" t="s">
        <v>862</v>
      </c>
    </row>
    <row r="19" customFormat="false" ht="15" hidden="false" customHeight="false" outlineLevel="0" collapsed="false">
      <c r="A19" s="7" t="s">
        <v>1057</v>
      </c>
      <c r="B19" s="7" t="s">
        <v>196</v>
      </c>
      <c r="C19" s="7" t="s">
        <v>1058</v>
      </c>
      <c r="D19" s="7" t="s">
        <v>885</v>
      </c>
      <c r="E19" s="7" t="s">
        <v>867</v>
      </c>
      <c r="F19" s="7" t="s">
        <v>861</v>
      </c>
      <c r="G19" s="7" t="s">
        <v>862</v>
      </c>
    </row>
    <row r="20" customFormat="false" ht="15" hidden="false" customHeight="false" outlineLevel="0" collapsed="false">
      <c r="A20" s="7" t="s">
        <v>1059</v>
      </c>
      <c r="B20" s="7" t="s">
        <v>196</v>
      </c>
      <c r="C20" s="7" t="s">
        <v>1060</v>
      </c>
      <c r="D20" s="7" t="s">
        <v>881</v>
      </c>
      <c r="E20" s="7" t="s">
        <v>867</v>
      </c>
      <c r="F20" s="7" t="s">
        <v>868</v>
      </c>
      <c r="G20" s="7" t="s">
        <v>850</v>
      </c>
    </row>
    <row r="21" customFormat="false" ht="15" hidden="false" customHeight="false" outlineLevel="0" collapsed="false">
      <c r="A21" s="7" t="s">
        <v>1061</v>
      </c>
      <c r="B21" s="7" t="s">
        <v>196</v>
      </c>
      <c r="C21" s="7" t="s">
        <v>1062</v>
      </c>
      <c r="D21" s="7" t="s">
        <v>895</v>
      </c>
      <c r="E21" s="7" t="s">
        <v>848</v>
      </c>
      <c r="F21" s="7" t="s">
        <v>868</v>
      </c>
      <c r="G21" s="7" t="s">
        <v>855</v>
      </c>
    </row>
    <row r="22" customFormat="false" ht="15" hidden="false" customHeight="false" outlineLevel="0" collapsed="false">
      <c r="A22" s="7" t="s">
        <v>1063</v>
      </c>
      <c r="B22" s="7" t="s">
        <v>201</v>
      </c>
      <c r="C22" s="7" t="s">
        <v>1064</v>
      </c>
      <c r="D22" s="7" t="s">
        <v>881</v>
      </c>
      <c r="E22" s="7" t="s">
        <v>867</v>
      </c>
      <c r="F22" s="7" t="s">
        <v>861</v>
      </c>
      <c r="G22" s="7" t="s">
        <v>862</v>
      </c>
    </row>
    <row r="23" customFormat="false" ht="15" hidden="false" customHeight="false" outlineLevel="0" collapsed="false">
      <c r="A23" s="7" t="s">
        <v>1065</v>
      </c>
      <c r="B23" s="7" t="s">
        <v>201</v>
      </c>
      <c r="C23" s="7" t="s">
        <v>1066</v>
      </c>
      <c r="D23" s="7" t="s">
        <v>876</v>
      </c>
      <c r="E23" s="7" t="s">
        <v>867</v>
      </c>
      <c r="F23" s="7" t="s">
        <v>854</v>
      </c>
      <c r="G23" s="7" t="s">
        <v>855</v>
      </c>
    </row>
    <row r="24" customFormat="false" ht="15" hidden="false" customHeight="false" outlineLevel="0" collapsed="false">
      <c r="A24" s="7" t="s">
        <v>1067</v>
      </c>
      <c r="B24" s="7" t="s">
        <v>201</v>
      </c>
      <c r="C24" s="7" t="s">
        <v>1068</v>
      </c>
      <c r="D24" s="7" t="s">
        <v>895</v>
      </c>
      <c r="E24" s="7" t="s">
        <v>848</v>
      </c>
      <c r="F24" s="7" t="s">
        <v>871</v>
      </c>
      <c r="G24" s="7" t="s">
        <v>862</v>
      </c>
    </row>
    <row r="25" customFormat="false" ht="15" hidden="false" customHeight="false" outlineLevel="0" collapsed="false">
      <c r="A25" s="7" t="s">
        <v>1069</v>
      </c>
      <c r="B25" s="7" t="s">
        <v>201</v>
      </c>
      <c r="C25" s="7" t="s">
        <v>1070</v>
      </c>
      <c r="D25" s="7" t="s">
        <v>847</v>
      </c>
      <c r="E25" s="7" t="s">
        <v>858</v>
      </c>
      <c r="F25" s="7" t="s">
        <v>871</v>
      </c>
      <c r="G25" s="7" t="s">
        <v>850</v>
      </c>
    </row>
    <row r="26" customFormat="false" ht="15" hidden="false" customHeight="false" outlineLevel="0" collapsed="false">
      <c r="A26" s="7" t="s">
        <v>1071</v>
      </c>
      <c r="B26" s="7" t="s">
        <v>201</v>
      </c>
      <c r="C26" s="7" t="s">
        <v>691</v>
      </c>
      <c r="D26" s="7" t="s">
        <v>885</v>
      </c>
      <c r="E26" s="7" t="s">
        <v>858</v>
      </c>
      <c r="F26" s="7" t="s">
        <v>871</v>
      </c>
      <c r="G26" s="7" t="s">
        <v>855</v>
      </c>
    </row>
    <row r="27" customFormat="false" ht="15" hidden="false" customHeight="false" outlineLevel="0" collapsed="false">
      <c r="A27" s="7" t="s">
        <v>1072</v>
      </c>
      <c r="B27" s="7" t="s">
        <v>206</v>
      </c>
      <c r="C27" s="7" t="s">
        <v>923</v>
      </c>
      <c r="D27" s="7" t="s">
        <v>881</v>
      </c>
      <c r="E27" s="7" t="s">
        <v>858</v>
      </c>
      <c r="F27" s="7" t="s">
        <v>861</v>
      </c>
      <c r="G27" s="7" t="s">
        <v>855</v>
      </c>
    </row>
    <row r="28" customFormat="false" ht="15" hidden="false" customHeight="false" outlineLevel="0" collapsed="false">
      <c r="A28" s="7" t="s">
        <v>1073</v>
      </c>
      <c r="B28" s="7" t="s">
        <v>206</v>
      </c>
      <c r="C28" s="7" t="s">
        <v>1074</v>
      </c>
      <c r="D28" s="7" t="s">
        <v>876</v>
      </c>
      <c r="E28" s="7" t="s">
        <v>858</v>
      </c>
      <c r="F28" s="7" t="s">
        <v>854</v>
      </c>
      <c r="G28" s="7" t="s">
        <v>855</v>
      </c>
    </row>
    <row r="29" customFormat="false" ht="15" hidden="false" customHeight="false" outlineLevel="0" collapsed="false">
      <c r="A29" s="7" t="s">
        <v>1075</v>
      </c>
      <c r="B29" s="7" t="s">
        <v>206</v>
      </c>
      <c r="C29" s="7" t="s">
        <v>1076</v>
      </c>
      <c r="D29" s="7" t="s">
        <v>881</v>
      </c>
      <c r="E29" s="7" t="s">
        <v>848</v>
      </c>
      <c r="F29" s="7" t="s">
        <v>868</v>
      </c>
      <c r="G29" s="7" t="s">
        <v>862</v>
      </c>
    </row>
    <row r="30" customFormat="false" ht="15" hidden="false" customHeight="false" outlineLevel="0" collapsed="false">
      <c r="A30" s="7" t="s">
        <v>1077</v>
      </c>
      <c r="B30" s="7" t="s">
        <v>211</v>
      </c>
      <c r="C30" s="7" t="s">
        <v>1078</v>
      </c>
      <c r="D30" s="7" t="s">
        <v>885</v>
      </c>
      <c r="E30" s="7" t="s">
        <v>848</v>
      </c>
      <c r="F30" s="7" t="s">
        <v>868</v>
      </c>
      <c r="G30" s="7" t="s">
        <v>882</v>
      </c>
    </row>
    <row r="31" customFormat="false" ht="15" hidden="false" customHeight="false" outlineLevel="0" collapsed="false">
      <c r="A31" s="7" t="s">
        <v>1079</v>
      </c>
      <c r="B31" s="7" t="s">
        <v>211</v>
      </c>
      <c r="C31" s="7" t="s">
        <v>1080</v>
      </c>
      <c r="D31" s="7" t="s">
        <v>895</v>
      </c>
      <c r="E31" s="7" t="s">
        <v>848</v>
      </c>
      <c r="F31" s="7" t="s">
        <v>849</v>
      </c>
      <c r="G31" s="7" t="s">
        <v>862</v>
      </c>
    </row>
    <row r="32" customFormat="false" ht="15" hidden="false" customHeight="false" outlineLevel="0" collapsed="false">
      <c r="A32" s="7" t="s">
        <v>1081</v>
      </c>
      <c r="B32" s="7" t="s">
        <v>211</v>
      </c>
      <c r="C32" s="7" t="s">
        <v>1082</v>
      </c>
      <c r="D32" s="7" t="s">
        <v>847</v>
      </c>
      <c r="E32" s="7" t="s">
        <v>858</v>
      </c>
      <c r="F32" s="7" t="s">
        <v>871</v>
      </c>
      <c r="G32" s="7" t="s">
        <v>850</v>
      </c>
    </row>
    <row r="33" customFormat="false" ht="15" hidden="false" customHeight="false" outlineLevel="0" collapsed="false">
      <c r="A33" s="7" t="s">
        <v>1083</v>
      </c>
      <c r="B33" s="7" t="s">
        <v>211</v>
      </c>
      <c r="C33" s="7" t="s">
        <v>1084</v>
      </c>
      <c r="D33" s="7" t="s">
        <v>847</v>
      </c>
      <c r="E33" s="7" t="s">
        <v>848</v>
      </c>
      <c r="F33" s="7" t="s">
        <v>849</v>
      </c>
      <c r="G33" s="7" t="s">
        <v>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20"/>
  </cols>
  <sheetData>
    <row r="1" customFormat="false" ht="17.35" hidden="false" customHeight="false" outlineLevel="0" collapsed="false">
      <c r="B1" s="1" t="s">
        <v>221</v>
      </c>
    </row>
    <row r="3" customFormat="false" ht="15" hidden="false" customHeight="false" outlineLevel="0" collapsed="false">
      <c r="A3" s="6" t="s">
        <v>839</v>
      </c>
      <c r="B3" s="6" t="s">
        <v>7</v>
      </c>
      <c r="C3" s="6" t="s">
        <v>840</v>
      </c>
      <c r="D3" s="6" t="s">
        <v>841</v>
      </c>
      <c r="E3" s="6" t="s">
        <v>842</v>
      </c>
      <c r="F3" s="6" t="s">
        <v>843</v>
      </c>
      <c r="G3" s="6" t="s">
        <v>844</v>
      </c>
    </row>
    <row r="4" customFormat="false" ht="15" hidden="false" customHeight="false" outlineLevel="0" collapsed="false">
      <c r="A4" s="7" t="s">
        <v>1085</v>
      </c>
      <c r="B4" s="7" t="s">
        <v>216</v>
      </c>
      <c r="C4" s="7" t="s">
        <v>1086</v>
      </c>
      <c r="D4" s="7" t="s">
        <v>885</v>
      </c>
      <c r="E4" s="7" t="s">
        <v>858</v>
      </c>
      <c r="F4" s="7" t="s">
        <v>868</v>
      </c>
      <c r="G4" s="7" t="s">
        <v>850</v>
      </c>
    </row>
    <row r="5" customFormat="false" ht="15" hidden="false" customHeight="false" outlineLevel="0" collapsed="false">
      <c r="A5" s="7" t="s">
        <v>1087</v>
      </c>
      <c r="B5" s="7" t="s">
        <v>216</v>
      </c>
      <c r="C5" s="7" t="s">
        <v>1088</v>
      </c>
      <c r="D5" s="7" t="s">
        <v>847</v>
      </c>
      <c r="E5" s="7" t="s">
        <v>867</v>
      </c>
      <c r="F5" s="7" t="s">
        <v>868</v>
      </c>
      <c r="G5" s="7" t="s">
        <v>862</v>
      </c>
    </row>
    <row r="6" customFormat="false" ht="15" hidden="false" customHeight="false" outlineLevel="0" collapsed="false">
      <c r="A6" s="7" t="s">
        <v>1089</v>
      </c>
      <c r="B6" s="7" t="s">
        <v>216</v>
      </c>
      <c r="C6" s="7" t="s">
        <v>1090</v>
      </c>
      <c r="D6" s="7" t="s">
        <v>895</v>
      </c>
      <c r="E6" s="7" t="s">
        <v>858</v>
      </c>
      <c r="F6" s="7" t="s">
        <v>854</v>
      </c>
      <c r="G6" s="7" t="s">
        <v>862</v>
      </c>
    </row>
    <row r="7" customFormat="false" ht="15" hidden="false" customHeight="false" outlineLevel="0" collapsed="false">
      <c r="A7" s="7" t="s">
        <v>1091</v>
      </c>
      <c r="B7" s="7" t="s">
        <v>222</v>
      </c>
      <c r="C7" s="7" t="s">
        <v>1092</v>
      </c>
      <c r="D7" s="7" t="s">
        <v>885</v>
      </c>
      <c r="E7" s="7" t="s">
        <v>858</v>
      </c>
      <c r="F7" s="7" t="s">
        <v>871</v>
      </c>
      <c r="G7" s="7" t="s">
        <v>882</v>
      </c>
    </row>
    <row r="8" customFormat="false" ht="15" hidden="false" customHeight="false" outlineLevel="0" collapsed="false">
      <c r="A8" s="7" t="s">
        <v>1093</v>
      </c>
      <c r="B8" s="7" t="s">
        <v>222</v>
      </c>
      <c r="C8" s="7" t="s">
        <v>939</v>
      </c>
      <c r="D8" s="7" t="s">
        <v>847</v>
      </c>
      <c r="E8" s="7" t="s">
        <v>858</v>
      </c>
      <c r="F8" s="7" t="s">
        <v>871</v>
      </c>
      <c r="G8" s="7" t="s">
        <v>855</v>
      </c>
    </row>
    <row r="9" customFormat="false" ht="15" hidden="false" customHeight="false" outlineLevel="0" collapsed="false">
      <c r="A9" s="7" t="s">
        <v>1094</v>
      </c>
      <c r="B9" s="7" t="s">
        <v>222</v>
      </c>
      <c r="C9" s="7" t="s">
        <v>1095</v>
      </c>
      <c r="D9" s="7" t="s">
        <v>876</v>
      </c>
      <c r="E9" s="7" t="s">
        <v>848</v>
      </c>
      <c r="F9" s="7" t="s">
        <v>871</v>
      </c>
      <c r="G9" s="7" t="s">
        <v>862</v>
      </c>
    </row>
    <row r="10" customFormat="false" ht="15" hidden="false" customHeight="false" outlineLevel="0" collapsed="false">
      <c r="A10" s="7" t="s">
        <v>1096</v>
      </c>
      <c r="B10" s="7" t="s">
        <v>227</v>
      </c>
      <c r="C10" s="7" t="s">
        <v>1097</v>
      </c>
      <c r="D10" s="7" t="s">
        <v>885</v>
      </c>
      <c r="E10" s="7" t="s">
        <v>848</v>
      </c>
      <c r="F10" s="7" t="s">
        <v>871</v>
      </c>
      <c r="G10" s="7" t="s">
        <v>882</v>
      </c>
    </row>
    <row r="11" customFormat="false" ht="15" hidden="false" customHeight="false" outlineLevel="0" collapsed="false">
      <c r="A11" s="7" t="s">
        <v>1098</v>
      </c>
      <c r="B11" s="7" t="s">
        <v>227</v>
      </c>
      <c r="C11" s="7" t="s">
        <v>1099</v>
      </c>
      <c r="D11" s="7" t="s">
        <v>885</v>
      </c>
      <c r="E11" s="7" t="s">
        <v>848</v>
      </c>
      <c r="F11" s="7" t="s">
        <v>871</v>
      </c>
      <c r="G11" s="7" t="s">
        <v>862</v>
      </c>
    </row>
    <row r="12" customFormat="false" ht="15" hidden="false" customHeight="false" outlineLevel="0" collapsed="false">
      <c r="A12" s="7" t="s">
        <v>1100</v>
      </c>
      <c r="B12" s="7" t="s">
        <v>227</v>
      </c>
      <c r="C12" s="7" t="s">
        <v>1101</v>
      </c>
      <c r="D12" s="7" t="s">
        <v>885</v>
      </c>
      <c r="E12" s="7" t="s">
        <v>858</v>
      </c>
      <c r="F12" s="7" t="s">
        <v>861</v>
      </c>
      <c r="G12" s="7" t="s">
        <v>855</v>
      </c>
    </row>
    <row r="13" customFormat="false" ht="15" hidden="false" customHeight="false" outlineLevel="0" collapsed="false">
      <c r="A13" s="7" t="s">
        <v>1102</v>
      </c>
      <c r="B13" s="7" t="s">
        <v>227</v>
      </c>
      <c r="C13" s="7" t="s">
        <v>1103</v>
      </c>
      <c r="D13" s="7" t="s">
        <v>881</v>
      </c>
      <c r="E13" s="7" t="s">
        <v>848</v>
      </c>
      <c r="F13" s="7" t="s">
        <v>868</v>
      </c>
      <c r="G13" s="7" t="s">
        <v>882</v>
      </c>
    </row>
    <row r="14" customFormat="false" ht="15" hidden="false" customHeight="false" outlineLevel="0" collapsed="false">
      <c r="A14" s="7" t="s">
        <v>1104</v>
      </c>
      <c r="B14" s="7" t="s">
        <v>227</v>
      </c>
      <c r="C14" s="7" t="s">
        <v>1105</v>
      </c>
      <c r="D14" s="7" t="s">
        <v>885</v>
      </c>
      <c r="E14" s="7" t="s">
        <v>858</v>
      </c>
      <c r="F14" s="7" t="s">
        <v>861</v>
      </c>
      <c r="G14" s="7" t="s">
        <v>850</v>
      </c>
    </row>
    <row r="15" customFormat="false" ht="15" hidden="false" customHeight="false" outlineLevel="0" collapsed="false">
      <c r="A15" s="7" t="s">
        <v>1106</v>
      </c>
      <c r="B15" s="7" t="s">
        <v>232</v>
      </c>
      <c r="C15" s="7" t="s">
        <v>1107</v>
      </c>
      <c r="D15" s="7" t="s">
        <v>853</v>
      </c>
      <c r="E15" s="7" t="s">
        <v>858</v>
      </c>
      <c r="F15" s="7" t="s">
        <v>868</v>
      </c>
      <c r="G15" s="7" t="s">
        <v>862</v>
      </c>
    </row>
    <row r="16" customFormat="false" ht="15" hidden="false" customHeight="false" outlineLevel="0" collapsed="false">
      <c r="A16" s="7" t="s">
        <v>1108</v>
      </c>
      <c r="B16" s="7" t="s">
        <v>232</v>
      </c>
      <c r="C16" s="7" t="s">
        <v>1109</v>
      </c>
      <c r="D16" s="7" t="s">
        <v>853</v>
      </c>
      <c r="E16" s="7" t="s">
        <v>867</v>
      </c>
      <c r="F16" s="7" t="s">
        <v>871</v>
      </c>
      <c r="G16" s="7" t="s">
        <v>855</v>
      </c>
    </row>
    <row r="17" customFormat="false" ht="15" hidden="false" customHeight="false" outlineLevel="0" collapsed="false">
      <c r="A17" s="7" t="s">
        <v>1110</v>
      </c>
      <c r="B17" s="7" t="s">
        <v>237</v>
      </c>
      <c r="C17" s="7" t="s">
        <v>1111</v>
      </c>
      <c r="D17" s="7" t="s">
        <v>847</v>
      </c>
      <c r="E17" s="7" t="s">
        <v>848</v>
      </c>
      <c r="F17" s="7" t="s">
        <v>854</v>
      </c>
      <c r="G17" s="7" t="s">
        <v>882</v>
      </c>
    </row>
    <row r="18" customFormat="false" ht="15" hidden="false" customHeight="false" outlineLevel="0" collapsed="false">
      <c r="A18" s="7" t="s">
        <v>1112</v>
      </c>
      <c r="B18" s="7" t="s">
        <v>237</v>
      </c>
      <c r="C18" s="7" t="s">
        <v>1113</v>
      </c>
      <c r="D18" s="7" t="s">
        <v>895</v>
      </c>
      <c r="E18" s="7" t="s">
        <v>867</v>
      </c>
      <c r="F18" s="7" t="s">
        <v>854</v>
      </c>
      <c r="G18" s="7" t="s">
        <v>862</v>
      </c>
    </row>
    <row r="19" customFormat="false" ht="15" hidden="false" customHeight="false" outlineLevel="0" collapsed="false">
      <c r="A19" s="7" t="s">
        <v>1114</v>
      </c>
      <c r="B19" s="7" t="s">
        <v>242</v>
      </c>
      <c r="C19" s="7" t="s">
        <v>1115</v>
      </c>
      <c r="D19" s="7" t="s">
        <v>881</v>
      </c>
      <c r="E19" s="7" t="s">
        <v>867</v>
      </c>
      <c r="F19" s="7" t="s">
        <v>854</v>
      </c>
      <c r="G19" s="7" t="s">
        <v>882</v>
      </c>
    </row>
    <row r="20" customFormat="false" ht="15" hidden="false" customHeight="false" outlineLevel="0" collapsed="false">
      <c r="A20" s="7" t="s">
        <v>1116</v>
      </c>
      <c r="B20" s="7" t="s">
        <v>242</v>
      </c>
      <c r="C20" s="7" t="s">
        <v>1117</v>
      </c>
      <c r="D20" s="7" t="s">
        <v>853</v>
      </c>
      <c r="E20" s="7" t="s">
        <v>858</v>
      </c>
      <c r="F20" s="7" t="s">
        <v>854</v>
      </c>
      <c r="G20" s="7" t="s">
        <v>855</v>
      </c>
    </row>
    <row r="21" customFormat="false" ht="15" hidden="false" customHeight="false" outlineLevel="0" collapsed="false">
      <c r="A21" s="7" t="s">
        <v>1118</v>
      </c>
      <c r="B21" s="7" t="s">
        <v>242</v>
      </c>
      <c r="C21" s="7" t="s">
        <v>1119</v>
      </c>
      <c r="D21" s="7" t="s">
        <v>853</v>
      </c>
      <c r="E21" s="7" t="s">
        <v>848</v>
      </c>
      <c r="F21" s="7" t="s">
        <v>861</v>
      </c>
      <c r="G21" s="7" t="s">
        <v>855</v>
      </c>
    </row>
    <row r="22" customFormat="false" ht="15" hidden="false" customHeight="false" outlineLevel="0" collapsed="false">
      <c r="A22" s="7" t="s">
        <v>1120</v>
      </c>
      <c r="B22" s="7" t="s">
        <v>242</v>
      </c>
      <c r="C22" s="7" t="s">
        <v>1121</v>
      </c>
      <c r="D22" s="7" t="s">
        <v>847</v>
      </c>
      <c r="E22" s="7" t="s">
        <v>867</v>
      </c>
      <c r="F22" s="7" t="s">
        <v>849</v>
      </c>
      <c r="G22" s="7" t="s">
        <v>862</v>
      </c>
    </row>
    <row r="23" customFormat="false" ht="15" hidden="false" customHeight="false" outlineLevel="0" collapsed="false">
      <c r="A23" s="7" t="s">
        <v>1122</v>
      </c>
      <c r="B23" s="7" t="s">
        <v>247</v>
      </c>
      <c r="C23" s="7" t="s">
        <v>1123</v>
      </c>
      <c r="D23" s="7" t="s">
        <v>885</v>
      </c>
      <c r="E23" s="7" t="s">
        <v>867</v>
      </c>
      <c r="F23" s="7" t="s">
        <v>849</v>
      </c>
      <c r="G23" s="7" t="s">
        <v>882</v>
      </c>
    </row>
    <row r="24" customFormat="false" ht="15" hidden="false" customHeight="false" outlineLevel="0" collapsed="false">
      <c r="A24" s="7" t="s">
        <v>1124</v>
      </c>
      <c r="B24" s="7" t="s">
        <v>247</v>
      </c>
      <c r="C24" s="7" t="s">
        <v>1125</v>
      </c>
      <c r="D24" s="7" t="s">
        <v>853</v>
      </c>
      <c r="E24" s="7" t="s">
        <v>848</v>
      </c>
      <c r="F24" s="7" t="s">
        <v>854</v>
      </c>
      <c r="G24" s="7" t="s">
        <v>862</v>
      </c>
    </row>
    <row r="25" customFormat="false" ht="15" hidden="false" customHeight="false" outlineLevel="0" collapsed="false">
      <c r="A25" s="7" t="s">
        <v>1126</v>
      </c>
      <c r="B25" s="7" t="s">
        <v>247</v>
      </c>
      <c r="C25" s="7" t="s">
        <v>1127</v>
      </c>
      <c r="D25" s="7" t="s">
        <v>881</v>
      </c>
      <c r="E25" s="7" t="s">
        <v>848</v>
      </c>
      <c r="F25" s="7" t="s">
        <v>868</v>
      </c>
      <c r="G25" s="7" t="s">
        <v>855</v>
      </c>
    </row>
    <row r="26" customFormat="false" ht="15" hidden="false" customHeight="false" outlineLevel="0" collapsed="false">
      <c r="A26" s="7" t="s">
        <v>1128</v>
      </c>
      <c r="B26" s="7" t="s">
        <v>252</v>
      </c>
      <c r="C26" s="7" t="s">
        <v>1129</v>
      </c>
      <c r="D26" s="7" t="s">
        <v>895</v>
      </c>
      <c r="E26" s="7" t="s">
        <v>867</v>
      </c>
      <c r="F26" s="7" t="s">
        <v>854</v>
      </c>
      <c r="G26" s="7" t="s">
        <v>862</v>
      </c>
    </row>
    <row r="27" customFormat="false" ht="15" hidden="false" customHeight="false" outlineLevel="0" collapsed="false">
      <c r="A27" s="7" t="s">
        <v>1130</v>
      </c>
      <c r="B27" s="7" t="s">
        <v>252</v>
      </c>
      <c r="C27" s="7" t="s">
        <v>1131</v>
      </c>
      <c r="D27" s="7" t="s">
        <v>881</v>
      </c>
      <c r="E27" s="7" t="s">
        <v>858</v>
      </c>
      <c r="F27" s="7" t="s">
        <v>871</v>
      </c>
      <c r="G27" s="7" t="s">
        <v>882</v>
      </c>
    </row>
    <row r="28" customFormat="false" ht="15" hidden="false" customHeight="false" outlineLevel="0" collapsed="false">
      <c r="A28" s="7" t="s">
        <v>1132</v>
      </c>
      <c r="B28" s="7" t="s">
        <v>252</v>
      </c>
      <c r="C28" s="7" t="s">
        <v>1133</v>
      </c>
      <c r="D28" s="7" t="s">
        <v>847</v>
      </c>
      <c r="E28" s="7" t="s">
        <v>867</v>
      </c>
      <c r="F28" s="7" t="s">
        <v>861</v>
      </c>
      <c r="G28" s="7" t="s">
        <v>862</v>
      </c>
    </row>
    <row r="29" customFormat="false" ht="15" hidden="false" customHeight="false" outlineLevel="0" collapsed="false">
      <c r="A29" s="7" t="s">
        <v>1134</v>
      </c>
      <c r="B29" s="7" t="s">
        <v>252</v>
      </c>
      <c r="C29" s="7" t="s">
        <v>1135</v>
      </c>
      <c r="D29" s="7" t="s">
        <v>853</v>
      </c>
      <c r="E29" s="7" t="s">
        <v>858</v>
      </c>
      <c r="F29" s="7" t="s">
        <v>849</v>
      </c>
      <c r="G29" s="7" t="s">
        <v>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1136</v>
      </c>
    </row>
    <row r="4" customFormat="false" ht="15" hidden="false" customHeight="false" outlineLevel="0" collapsed="false">
      <c r="B4" s="9"/>
    </row>
    <row r="5" customFormat="false" ht="15" hidden="false" customHeight="false" outlineLevel="0" collapsed="false">
      <c r="B5" s="9" t="s">
        <v>1137</v>
      </c>
    </row>
    <row r="6" customFormat="false" ht="15" hidden="false" customHeight="false" outlineLevel="0" collapsed="false">
      <c r="B6" s="9" t="s">
        <v>1138</v>
      </c>
    </row>
    <row r="7" customFormat="false" ht="15" hidden="false" customHeight="false" outlineLevel="0" collapsed="false">
      <c r="B7" s="9" t="s">
        <v>1139</v>
      </c>
    </row>
    <row r="8" customFormat="false" ht="15" hidden="false" customHeight="false" outlineLevel="0" collapsed="false">
      <c r="B8" s="9" t="s">
        <v>1140</v>
      </c>
    </row>
    <row r="9" customFormat="false" ht="15" hidden="false" customHeight="false" outlineLevel="0" collapsed="false">
      <c r="B9" s="9" t="s">
        <v>1141</v>
      </c>
    </row>
    <row r="10" customFormat="false" ht="15" hidden="false" customHeight="false" outlineLevel="0" collapsed="false">
      <c r="B10" s="9" t="s">
        <v>1142</v>
      </c>
    </row>
    <row r="11" customFormat="false" ht="15" hidden="false" customHeight="false" outlineLevel="0" collapsed="false">
      <c r="B11" s="9"/>
    </row>
    <row r="12" customFormat="false" ht="15" hidden="false" customHeight="false" outlineLevel="0" collapsed="false">
      <c r="B12" s="9" t="s">
        <v>1143</v>
      </c>
    </row>
    <row r="13" customFormat="false" ht="15" hidden="false" customHeight="false" outlineLevel="0" collapsed="false">
      <c r="B13" s="9" t="s">
        <v>1144</v>
      </c>
    </row>
    <row r="14" customFormat="false" ht="15" hidden="false" customHeight="false" outlineLevel="0" collapsed="false">
      <c r="B14" s="9" t="s">
        <v>1145</v>
      </c>
    </row>
    <row r="15" customFormat="false" ht="15" hidden="false" customHeight="false" outlineLevel="0" collapsed="false">
      <c r="B15" s="9" t="s">
        <v>1146</v>
      </c>
    </row>
    <row r="16" customFormat="false" ht="15" hidden="false" customHeight="false" outlineLevel="0" collapsed="false">
      <c r="B16" s="9" t="s">
        <v>1147</v>
      </c>
    </row>
    <row r="17" customFormat="false" ht="15" hidden="false" customHeight="false" outlineLevel="0" collapsed="false">
      <c r="B17" s="9" t="s">
        <v>1148</v>
      </c>
    </row>
    <row r="18" customFormat="false" ht="15" hidden="false" customHeight="false" outlineLevel="0" collapsed="false">
      <c r="B18" s="9" t="s">
        <v>1149</v>
      </c>
    </row>
    <row r="19" customFormat="false" ht="15" hidden="false" customHeight="false" outlineLevel="0" collapsed="false">
      <c r="B19" s="9" t="s">
        <v>1150</v>
      </c>
    </row>
    <row r="20" customFormat="false" ht="15" hidden="false" customHeight="false" outlineLevel="0" collapsed="false">
      <c r="B20" s="9" t="s">
        <v>1151</v>
      </c>
    </row>
    <row r="21" customFormat="false" ht="15" hidden="false" customHeight="false" outlineLevel="0" collapsed="false">
      <c r="B21" s="9"/>
    </row>
    <row r="22" customFormat="false" ht="15" hidden="false" customHeight="false" outlineLevel="0" collapsed="false">
      <c r="B22" s="9" t="s">
        <v>1152</v>
      </c>
    </row>
    <row r="23" customFormat="false" ht="15" hidden="false" customHeight="false" outlineLevel="0" collapsed="false">
      <c r="B23" s="9" t="s">
        <v>1153</v>
      </c>
    </row>
    <row r="24" customFormat="false" ht="15" hidden="false" customHeight="false" outlineLevel="0" collapsed="false">
      <c r="B24" s="9" t="s">
        <v>1154</v>
      </c>
    </row>
    <row r="25" customFormat="false" ht="15" hidden="false" customHeight="false" outlineLevel="0" collapsed="false">
      <c r="B25" s="9" t="s">
        <v>1155</v>
      </c>
    </row>
    <row r="26" customFormat="false" ht="15" hidden="false" customHeight="false" outlineLevel="0" collapsed="false">
      <c r="B26" s="9"/>
    </row>
    <row r="27" customFormat="false" ht="15" hidden="false" customHeight="false" outlineLevel="0" collapsed="false">
      <c r="B27" s="9" t="s">
        <v>1156</v>
      </c>
    </row>
    <row r="28" customFormat="false" ht="15" hidden="false" customHeight="false" outlineLevel="0" collapsed="false">
      <c r="B28" s="9" t="s">
        <v>1157</v>
      </c>
    </row>
    <row r="29" customFormat="false" ht="15" hidden="false" customHeight="false" outlineLevel="0" collapsed="false">
      <c r="B29" s="9" t="s">
        <v>1158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20"/>
  </cols>
  <sheetData>
    <row r="2" customFormat="false" ht="17.35" hidden="false" customHeight="false" outlineLevel="0" collapsed="false">
      <c r="B2" s="1" t="s">
        <v>1159</v>
      </c>
    </row>
    <row r="3" customFormat="false" ht="15" hidden="false" customHeight="false" outlineLevel="0" collapsed="false">
      <c r="B3" s="2" t="s">
        <v>1160</v>
      </c>
    </row>
    <row r="4" customFormat="false" ht="15" hidden="false" customHeight="false" outlineLevel="0" collapsed="false">
      <c r="B4" s="2" t="s">
        <v>1161</v>
      </c>
    </row>
    <row r="6" customFormat="false" ht="15" hidden="false" customHeight="false" outlineLevel="0" collapsed="false">
      <c r="B6" s="6" t="s">
        <v>1162</v>
      </c>
      <c r="C6" s="6" t="s">
        <v>1163</v>
      </c>
      <c r="D6" s="6" t="s">
        <v>1164</v>
      </c>
      <c r="E6" s="6" t="s">
        <v>1165</v>
      </c>
    </row>
    <row r="7" customFormat="false" ht="15" hidden="false" customHeight="false" outlineLevel="0" collapsed="false">
      <c r="B7" s="7" t="s">
        <v>1166</v>
      </c>
      <c r="C7" s="7" t="s">
        <v>1167</v>
      </c>
      <c r="D7" s="7" t="s">
        <v>1168</v>
      </c>
      <c r="E7" s="7" t="s">
        <v>1169</v>
      </c>
    </row>
    <row r="8" customFormat="false" ht="15" hidden="false" customHeight="false" outlineLevel="0" collapsed="false">
      <c r="B8" s="7" t="s">
        <v>1166</v>
      </c>
      <c r="C8" s="7" t="s">
        <v>8</v>
      </c>
      <c r="D8" s="7" t="s">
        <v>1168</v>
      </c>
      <c r="E8" s="7" t="s">
        <v>1170</v>
      </c>
    </row>
    <row r="9" customFormat="false" ht="15" hidden="false" customHeight="false" outlineLevel="0" collapsed="false">
      <c r="B9" s="7" t="s">
        <v>1166</v>
      </c>
      <c r="C9" s="7" t="s">
        <v>1171</v>
      </c>
      <c r="D9" s="7" t="s">
        <v>1168</v>
      </c>
      <c r="E9" s="7" t="s">
        <v>1172</v>
      </c>
    </row>
    <row r="10" customFormat="false" ht="15" hidden="false" customHeight="false" outlineLevel="0" collapsed="false">
      <c r="B10" s="7" t="s">
        <v>1166</v>
      </c>
      <c r="C10" s="7" t="s">
        <v>1173</v>
      </c>
      <c r="D10" s="7" t="s">
        <v>1168</v>
      </c>
      <c r="E10" s="7" t="s">
        <v>1174</v>
      </c>
    </row>
    <row r="11" customFormat="false" ht="15" hidden="false" customHeight="false" outlineLevel="0" collapsed="false">
      <c r="B11" s="7" t="s">
        <v>1166</v>
      </c>
      <c r="C11" s="7" t="s">
        <v>38</v>
      </c>
      <c r="D11" s="7" t="s">
        <v>1168</v>
      </c>
      <c r="E11" s="7" t="s">
        <v>1175</v>
      </c>
    </row>
    <row r="12" customFormat="false" ht="15" hidden="false" customHeight="false" outlineLevel="0" collapsed="false">
      <c r="B12" s="7" t="s">
        <v>1176</v>
      </c>
      <c r="C12" s="7" t="s">
        <v>1167</v>
      </c>
      <c r="D12" s="7" t="s">
        <v>1177</v>
      </c>
      <c r="E12" s="7" t="s">
        <v>1178</v>
      </c>
    </row>
    <row r="13" customFormat="false" ht="15" hidden="false" customHeight="false" outlineLevel="0" collapsed="false">
      <c r="B13" s="7" t="s">
        <v>1176</v>
      </c>
      <c r="C13" s="7" t="s">
        <v>258</v>
      </c>
      <c r="D13" s="7" t="s">
        <v>1177</v>
      </c>
      <c r="E13" s="7" t="s">
        <v>1169</v>
      </c>
    </row>
    <row r="14" customFormat="false" ht="15" hidden="false" customHeight="false" outlineLevel="0" collapsed="false">
      <c r="B14" s="7" t="s">
        <v>1176</v>
      </c>
      <c r="C14" s="7" t="s">
        <v>261</v>
      </c>
      <c r="D14" s="7" t="s">
        <v>1177</v>
      </c>
      <c r="E14" s="7" t="s">
        <v>1179</v>
      </c>
    </row>
    <row r="15" customFormat="false" ht="15" hidden="false" customHeight="false" outlineLevel="0" collapsed="false">
      <c r="B15" s="7" t="s">
        <v>1176</v>
      </c>
      <c r="C15" s="7" t="s">
        <v>11</v>
      </c>
      <c r="D15" s="7" t="s">
        <v>1177</v>
      </c>
      <c r="E15" s="7" t="s">
        <v>1175</v>
      </c>
    </row>
    <row r="16" customFormat="false" ht="15" hidden="false" customHeight="false" outlineLevel="0" collapsed="false">
      <c r="B16" s="7" t="s">
        <v>1176</v>
      </c>
      <c r="C16" s="7" t="s">
        <v>12</v>
      </c>
      <c r="D16" s="7" t="s">
        <v>1177</v>
      </c>
      <c r="E16" s="7" t="s">
        <v>1180</v>
      </c>
    </row>
    <row r="17" customFormat="false" ht="15" hidden="false" customHeight="false" outlineLevel="0" collapsed="false">
      <c r="B17" s="7" t="s">
        <v>1181</v>
      </c>
      <c r="C17" s="7" t="s">
        <v>1167</v>
      </c>
      <c r="D17" s="7" t="s">
        <v>1182</v>
      </c>
      <c r="E17" s="7" t="s">
        <v>1169</v>
      </c>
    </row>
    <row r="18" customFormat="false" ht="15" hidden="false" customHeight="false" outlineLevel="0" collapsed="false">
      <c r="B18" s="7" t="s">
        <v>1181</v>
      </c>
      <c r="C18" s="7" t="s">
        <v>840</v>
      </c>
      <c r="D18" s="7" t="s">
        <v>1182</v>
      </c>
      <c r="E18" s="7" t="s">
        <v>1172</v>
      </c>
    </row>
    <row r="19" customFormat="false" ht="15" hidden="false" customHeight="false" outlineLevel="0" collapsed="false">
      <c r="B19" s="7" t="s">
        <v>1181</v>
      </c>
      <c r="C19" s="7" t="s">
        <v>841</v>
      </c>
      <c r="D19" s="7" t="s">
        <v>1182</v>
      </c>
      <c r="E19" s="7" t="s">
        <v>1174</v>
      </c>
    </row>
    <row r="20" customFormat="false" ht="15" hidden="false" customHeight="false" outlineLevel="0" collapsed="false">
      <c r="B20" s="7" t="s">
        <v>1181</v>
      </c>
      <c r="C20" s="7" t="s">
        <v>842</v>
      </c>
      <c r="D20" s="7" t="s">
        <v>1182</v>
      </c>
      <c r="E20" s="7" t="s">
        <v>1179</v>
      </c>
    </row>
    <row r="21" customFormat="false" ht="15" hidden="false" customHeight="false" outlineLevel="0" collapsed="false">
      <c r="B21" s="7" t="s">
        <v>1181</v>
      </c>
      <c r="C21" s="7" t="s">
        <v>843</v>
      </c>
      <c r="D21" s="7" t="s">
        <v>1182</v>
      </c>
      <c r="E21" s="7" t="s">
        <v>1175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30"/>
  </cols>
  <sheetData>
    <row r="2" customFormat="false" ht="17.35" hidden="false" customHeight="false" outlineLevel="0" collapsed="false">
      <c r="B2" s="1" t="s">
        <v>1183</v>
      </c>
    </row>
    <row r="3" customFormat="false" ht="30" hidden="false" customHeight="true" outlineLevel="0" collapsed="false">
      <c r="B3" s="11" t="s">
        <v>1184</v>
      </c>
    </row>
    <row r="5" customFormat="false" ht="15" hidden="false" customHeight="false" outlineLevel="0" collapsed="false">
      <c r="B5" s="3" t="s">
        <v>1185</v>
      </c>
      <c r="C5" s="4" t="s">
        <v>1166</v>
      </c>
    </row>
    <row r="7" customFormat="false" ht="15" hidden="false" customHeight="false" outlineLevel="0" collapsed="false">
      <c r="B7" s="5" t="s">
        <v>1186</v>
      </c>
    </row>
    <row r="8" customFormat="false" ht="15" hidden="false" customHeight="true" outlineLevel="0" collapsed="false">
      <c r="B8" s="12" t="s">
        <v>1187</v>
      </c>
      <c r="C8" s="12"/>
      <c r="D8" s="12"/>
      <c r="E8" s="12"/>
      <c r="F8" s="12"/>
      <c r="G8" s="12"/>
      <c r="H8" s="12"/>
    </row>
    <row r="9" customFormat="false" ht="15" hidden="false" customHeight="false" outlineLevel="0" collapsed="false">
      <c r="B9" s="12"/>
      <c r="C9" s="12"/>
      <c r="D9" s="12"/>
      <c r="E9" s="12"/>
      <c r="F9" s="12"/>
      <c r="G9" s="12"/>
      <c r="H9" s="12"/>
    </row>
    <row r="10" customFormat="false" ht="15" hidden="false" customHeight="false" outlineLevel="0" collapsed="false">
      <c r="B10" s="12"/>
      <c r="C10" s="12"/>
      <c r="D10" s="12"/>
      <c r="E10" s="12"/>
      <c r="F10" s="12"/>
      <c r="G10" s="12"/>
      <c r="H10" s="12"/>
    </row>
    <row r="11" customFormat="false" ht="15" hidden="false" customHeight="false" outlineLevel="0" collapsed="false">
      <c r="B11" s="12"/>
      <c r="C11" s="12"/>
      <c r="D11" s="12"/>
      <c r="E11" s="12"/>
      <c r="F11" s="12"/>
      <c r="G11" s="12"/>
      <c r="H11" s="12"/>
    </row>
    <row r="12" customFormat="false" ht="15" hidden="false" customHeight="false" outlineLevel="0" collapsed="false">
      <c r="B12" s="12"/>
      <c r="C12" s="12"/>
      <c r="D12" s="12"/>
      <c r="E12" s="12"/>
      <c r="F12" s="12"/>
      <c r="G12" s="12"/>
      <c r="H12" s="12"/>
    </row>
    <row r="13" customFormat="false" ht="15" hidden="false" customHeight="false" outlineLevel="0" collapsed="false">
      <c r="B13" s="12"/>
      <c r="C13" s="12"/>
      <c r="D13" s="12"/>
      <c r="E13" s="12"/>
      <c r="F13" s="12"/>
      <c r="G13" s="12"/>
      <c r="H13" s="12"/>
    </row>
    <row r="14" customFormat="false" ht="15" hidden="false" customHeight="false" outlineLevel="0" collapsed="false">
      <c r="B14" s="12"/>
      <c r="C14" s="12"/>
      <c r="D14" s="12"/>
      <c r="E14" s="12"/>
      <c r="F14" s="12"/>
      <c r="G14" s="12"/>
      <c r="H14" s="12"/>
    </row>
    <row r="15" customFormat="false" ht="15" hidden="false" customHeight="false" outlineLevel="0" collapsed="false">
      <c r="B15" s="12"/>
      <c r="C15" s="12"/>
      <c r="D15" s="12"/>
      <c r="E15" s="12"/>
      <c r="F15" s="12"/>
      <c r="G15" s="12"/>
      <c r="H15" s="12"/>
    </row>
    <row r="16" customFormat="false" ht="15" hidden="false" customHeight="false" outlineLevel="0" collapsed="false">
      <c r="B16" s="12"/>
      <c r="C16" s="12"/>
      <c r="D16" s="12"/>
      <c r="E16" s="12"/>
      <c r="F16" s="12"/>
      <c r="G16" s="12"/>
      <c r="H16" s="12"/>
    </row>
    <row r="18" customFormat="false" ht="15" hidden="false" customHeight="false" outlineLevel="0" collapsed="false">
      <c r="B18" s="2" t="s">
        <v>1188</v>
      </c>
    </row>
    <row r="20" customFormat="false" ht="15" hidden="false" customHeight="false" outlineLevel="0" collapsed="false">
      <c r="B20" s="6" t="s">
        <v>1189</v>
      </c>
      <c r="C20" s="6" t="s">
        <v>1190</v>
      </c>
      <c r="D20" s="6" t="s">
        <v>1164</v>
      </c>
      <c r="E20" s="6" t="s">
        <v>1191</v>
      </c>
      <c r="F20" s="6" t="s">
        <v>844</v>
      </c>
    </row>
    <row r="21" customFormat="false" ht="15" hidden="false" customHeight="false" outlineLevel="0" collapsed="false">
      <c r="B21" s="7" t="s">
        <v>1167</v>
      </c>
      <c r="C21" s="7" t="s">
        <v>45</v>
      </c>
      <c r="D21" s="7" t="s">
        <v>1168</v>
      </c>
      <c r="E21" s="7" t="s">
        <v>1192</v>
      </c>
      <c r="F21" s="7" t="s">
        <v>1193</v>
      </c>
    </row>
    <row r="22" customFormat="false" ht="15" hidden="false" customHeight="false" outlineLevel="0" collapsed="false">
      <c r="B22" s="7" t="s">
        <v>8</v>
      </c>
      <c r="C22" s="7" t="s">
        <v>46</v>
      </c>
      <c r="D22" s="7" t="s">
        <v>1168</v>
      </c>
      <c r="E22" s="7" t="s">
        <v>1194</v>
      </c>
      <c r="F22" s="7" t="s">
        <v>1193</v>
      </c>
    </row>
    <row r="23" customFormat="false" ht="15" hidden="false" customHeight="false" outlineLevel="0" collapsed="false">
      <c r="B23" s="7" t="s">
        <v>1171</v>
      </c>
      <c r="C23" s="7" t="s">
        <v>1195</v>
      </c>
      <c r="D23" s="7" t="s">
        <v>1168</v>
      </c>
      <c r="E23" s="7" t="s">
        <v>1196</v>
      </c>
      <c r="F23" s="7" t="s">
        <v>1193</v>
      </c>
    </row>
    <row r="24" customFormat="false" ht="15" hidden="false" customHeight="false" outlineLevel="0" collapsed="false">
      <c r="B24" s="7" t="s">
        <v>1173</v>
      </c>
      <c r="C24" s="7" t="s">
        <v>1197</v>
      </c>
      <c r="D24" s="7" t="s">
        <v>1168</v>
      </c>
      <c r="E24" s="7" t="s">
        <v>1198</v>
      </c>
      <c r="F24" s="7" t="s">
        <v>1193</v>
      </c>
    </row>
    <row r="25" customFormat="false" ht="15" hidden="false" customHeight="false" outlineLevel="0" collapsed="false">
      <c r="B25" s="7" t="s">
        <v>38</v>
      </c>
      <c r="C25" s="7" t="s">
        <v>58</v>
      </c>
      <c r="D25" s="7" t="s">
        <v>1168</v>
      </c>
      <c r="E25" s="7" t="s">
        <v>1199</v>
      </c>
      <c r="F25" s="7" t="s">
        <v>1193</v>
      </c>
    </row>
    <row r="27" customFormat="false" ht="15" hidden="false" customHeight="false" outlineLevel="0" collapsed="false">
      <c r="B27" s="2" t="s">
        <v>1200</v>
      </c>
    </row>
  </sheetData>
  <mergeCells count="1">
    <mergeCell ref="B8:H16"/>
  </mergeCells>
  <dataValidations count="1">
    <dataValidation allowBlank="false" errorStyle="stop" operator="between" showDropDown="false" showErrorMessage="false" showInputMessage="false" sqref="C5" type="list">
      <formula1>"Catalog Spec Sheet,Registration Certificate,Incident Report"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2026-07-28T14:07:52Z</dcterms:created>
  <dc:creator>openpyxl</dc:creator>
  <dc:description/>
  <dc:language>en-US</dc:language>
  <cp:lastModifiedBy/>
  <dcterms:modified xsi:type="dcterms:W3CDTF">2026-07-28T14:07:52Z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